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kes\Documents\Krinkov Dyno\Propane vs CO2\"/>
    </mc:Choice>
  </mc:AlternateContent>
  <xr:revisionPtr revIDLastSave="0" documentId="13_ncr:1_{2B4F7EC5-6EBD-45FE-BB00-74EC760F7066}" xr6:coauthVersionLast="47" xr6:coauthVersionMax="47" xr10:uidLastSave="{00000000-0000-0000-0000-000000000000}"/>
  <bookViews>
    <workbookView xWindow="-120" yWindow="-120" windowWidth="38640" windowHeight="21240" activeTab="10" xr2:uid="{958EF6D3-A2A3-4236-95FB-3FCACA31B559}"/>
  </bookViews>
  <sheets>
    <sheet name="Data In" sheetId="8" r:id="rId1"/>
    <sheet name="Data Out" sheetId="7" r:id="rId2"/>
    <sheet name="Settings" sheetId="6" r:id="rId3"/>
    <sheet name="TEMPLATE" sheetId="1" r:id="rId4"/>
    <sheet name="12gCO2_A1" sheetId="11" r:id="rId5"/>
    <sheet name="12gCO2_A2" sheetId="12" r:id="rId6"/>
    <sheet name="12gCO2_A3" sheetId="14" r:id="rId7"/>
    <sheet name="18gCO2_A1" sheetId="15" r:id="rId8"/>
    <sheet name="18gCO2_A2" sheetId="16" r:id="rId9"/>
    <sheet name="18gCO2_A3" sheetId="17" r:id="rId10"/>
    <sheet name="Sheet2" sheetId="3" r:id="rId11"/>
  </sheets>
  <externalReferences>
    <externalReference r:id="rId12"/>
  </externalReference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45" i="17" l="1"/>
  <c r="B2444" i="17"/>
  <c r="B2443" i="17"/>
  <c r="B2442" i="17"/>
  <c r="B2441" i="17"/>
  <c r="B2440" i="17"/>
  <c r="B2439" i="17"/>
  <c r="B2438" i="17"/>
  <c r="B2437" i="17"/>
  <c r="B2436" i="17"/>
  <c r="B2435" i="17"/>
  <c r="B2434" i="17"/>
  <c r="B2433" i="17"/>
  <c r="B2432" i="17"/>
  <c r="B2431" i="17"/>
  <c r="B2430" i="17"/>
  <c r="B2429" i="17"/>
  <c r="B2428" i="17"/>
  <c r="B2427" i="17"/>
  <c r="B2426" i="17"/>
  <c r="B2425" i="17"/>
  <c r="B2424" i="17"/>
  <c r="B2423" i="17"/>
  <c r="B2422" i="17"/>
  <c r="B2421" i="17"/>
  <c r="B2420" i="17"/>
  <c r="B2419" i="17"/>
  <c r="B2418" i="17"/>
  <c r="B2417" i="17"/>
  <c r="B2416" i="17"/>
  <c r="B2415" i="17"/>
  <c r="B2414" i="17"/>
  <c r="B2413" i="17"/>
  <c r="B2412" i="17"/>
  <c r="B2411" i="17"/>
  <c r="B2410" i="17"/>
  <c r="B2409" i="17"/>
  <c r="B2408" i="17"/>
  <c r="B2407" i="17"/>
  <c r="B2406" i="17"/>
  <c r="B2405" i="17"/>
  <c r="B2404" i="17"/>
  <c r="B2403" i="17"/>
  <c r="B2402" i="17"/>
  <c r="B2401" i="17"/>
  <c r="B2400" i="17"/>
  <c r="B2399" i="17"/>
  <c r="B2398" i="17"/>
  <c r="B2397" i="17"/>
  <c r="B2396" i="17"/>
  <c r="B2395" i="17"/>
  <c r="B2394" i="17"/>
  <c r="B2393" i="17"/>
  <c r="B2392" i="17"/>
  <c r="B2391" i="17"/>
  <c r="B2390" i="17"/>
  <c r="B2389" i="17"/>
  <c r="B2388" i="17"/>
  <c r="B2387" i="17"/>
  <c r="B2386" i="17"/>
  <c r="B2385" i="17"/>
  <c r="B2384" i="17"/>
  <c r="B2383" i="17"/>
  <c r="B2382" i="17"/>
  <c r="B2381" i="17"/>
  <c r="B2380" i="17"/>
  <c r="B2379" i="17"/>
  <c r="B2378" i="17"/>
  <c r="B2377" i="17"/>
  <c r="B2376" i="17"/>
  <c r="B2375" i="17"/>
  <c r="B2374" i="17"/>
  <c r="B2373" i="17"/>
  <c r="B2372" i="17"/>
  <c r="B2371" i="17"/>
  <c r="B2370" i="17"/>
  <c r="B2369" i="17"/>
  <c r="B2368" i="17"/>
  <c r="B2367" i="17"/>
  <c r="B2366" i="17"/>
  <c r="B2365" i="17"/>
  <c r="B2364" i="17"/>
  <c r="B2363" i="17"/>
  <c r="B2362" i="17"/>
  <c r="B2361" i="17"/>
  <c r="B2360" i="17"/>
  <c r="B2359" i="17"/>
  <c r="B2358" i="17"/>
  <c r="B2357" i="17"/>
  <c r="B2356" i="17"/>
  <c r="B2355" i="17"/>
  <c r="B2354" i="17"/>
  <c r="B2353" i="17"/>
  <c r="B2352" i="17"/>
  <c r="B2351" i="17"/>
  <c r="B2350" i="17"/>
  <c r="B2349" i="17"/>
  <c r="B2348" i="17"/>
  <c r="B2347" i="17"/>
  <c r="B2346" i="17"/>
  <c r="B2345" i="17"/>
  <c r="B2344" i="17"/>
  <c r="B2343" i="17"/>
  <c r="B2342" i="17"/>
  <c r="B2341" i="17"/>
  <c r="B2340" i="17"/>
  <c r="B2339" i="17"/>
  <c r="B2338" i="17"/>
  <c r="B2337" i="17"/>
  <c r="B2336" i="17"/>
  <c r="B2335" i="17"/>
  <c r="B2334" i="17"/>
  <c r="B2333" i="17"/>
  <c r="B2332" i="17"/>
  <c r="B2331" i="17"/>
  <c r="B2330" i="17"/>
  <c r="B2329" i="17"/>
  <c r="B2328" i="17"/>
  <c r="B2327" i="17"/>
  <c r="B2326" i="17"/>
  <c r="B2325" i="17"/>
  <c r="B2324" i="17"/>
  <c r="B2323" i="17"/>
  <c r="B2322" i="17"/>
  <c r="B2321" i="17"/>
  <c r="B2320" i="17"/>
  <c r="B2319" i="17"/>
  <c r="B2318" i="17"/>
  <c r="B2317" i="17"/>
  <c r="B2316" i="17"/>
  <c r="B2315" i="17"/>
  <c r="B2314" i="17"/>
  <c r="B2313" i="17"/>
  <c r="B2312" i="17"/>
  <c r="B2311" i="17"/>
  <c r="B2310" i="17"/>
  <c r="B2309" i="17"/>
  <c r="B2308" i="17"/>
  <c r="B2307" i="17"/>
  <c r="B2306" i="17"/>
  <c r="B2305" i="17"/>
  <c r="B2304" i="17"/>
  <c r="B2303" i="17"/>
  <c r="B2302" i="17"/>
  <c r="B2301" i="17"/>
  <c r="B2300" i="17"/>
  <c r="B2299" i="17"/>
  <c r="B2298" i="17"/>
  <c r="B2297" i="17"/>
  <c r="B2296" i="17"/>
  <c r="B2295" i="17"/>
  <c r="B2294" i="17"/>
  <c r="B2293" i="17"/>
  <c r="B2292" i="17"/>
  <c r="B2291" i="17"/>
  <c r="B2290" i="17"/>
  <c r="B2289" i="17"/>
  <c r="B2288" i="17"/>
  <c r="B2287" i="17"/>
  <c r="B2286" i="17"/>
  <c r="B2285" i="17"/>
  <c r="B2284" i="17"/>
  <c r="B2283" i="17"/>
  <c r="B2282" i="17"/>
  <c r="B2281" i="17"/>
  <c r="B2280" i="17"/>
  <c r="B2279" i="17"/>
  <c r="B2278" i="17"/>
  <c r="B2277" i="17"/>
  <c r="B2276" i="17"/>
  <c r="B2275" i="17"/>
  <c r="B2274" i="17"/>
  <c r="B2273" i="17"/>
  <c r="B2272" i="17"/>
  <c r="B2271" i="17"/>
  <c r="B2270" i="17"/>
  <c r="B2269" i="17"/>
  <c r="B2268" i="17"/>
  <c r="B2267" i="17"/>
  <c r="B2266" i="17"/>
  <c r="B2265" i="17"/>
  <c r="B2264" i="17"/>
  <c r="B2263" i="17"/>
  <c r="B2262" i="17"/>
  <c r="B2261" i="17"/>
  <c r="B2260" i="17"/>
  <c r="B2259" i="17"/>
  <c r="B2258" i="17"/>
  <c r="B2257" i="17"/>
  <c r="B2256" i="17"/>
  <c r="B2255" i="17"/>
  <c r="B2254" i="17"/>
  <c r="B2253" i="17"/>
  <c r="B2252" i="17"/>
  <c r="B2251" i="17"/>
  <c r="B2250" i="17"/>
  <c r="B2249" i="17"/>
  <c r="B2248" i="17"/>
  <c r="B2247" i="17"/>
  <c r="B2246" i="17"/>
  <c r="B2245" i="17"/>
  <c r="B2244" i="17"/>
  <c r="B2243" i="17"/>
  <c r="B2242" i="17"/>
  <c r="B2241" i="17"/>
  <c r="B2240" i="17"/>
  <c r="B2239" i="17"/>
  <c r="B2238" i="17"/>
  <c r="B2237" i="17"/>
  <c r="B2236" i="17"/>
  <c r="B2235" i="17"/>
  <c r="B2234" i="17"/>
  <c r="B2233" i="17"/>
  <c r="B2232" i="17"/>
  <c r="B2231" i="17"/>
  <c r="B2230" i="17"/>
  <c r="B2229" i="17"/>
  <c r="B2228" i="17"/>
  <c r="B2227" i="17"/>
  <c r="B2226" i="17"/>
  <c r="B2225" i="17"/>
  <c r="B2224" i="17"/>
  <c r="B2223" i="17"/>
  <c r="B2222" i="17"/>
  <c r="B2221" i="17"/>
  <c r="B2220" i="17"/>
  <c r="B2219" i="17"/>
  <c r="B2218" i="17"/>
  <c r="B2217" i="17"/>
  <c r="B2216" i="17"/>
  <c r="B2215" i="17"/>
  <c r="B2214" i="17"/>
  <c r="B2213" i="17"/>
  <c r="B2212" i="17"/>
  <c r="B2211" i="17"/>
  <c r="B2210" i="17"/>
  <c r="B2209" i="17"/>
  <c r="B2208" i="17"/>
  <c r="B2207" i="17"/>
  <c r="B2206" i="17"/>
  <c r="B2205" i="17"/>
  <c r="B2204" i="17"/>
  <c r="B2203" i="17"/>
  <c r="B2202" i="17"/>
  <c r="B2201" i="17"/>
  <c r="B2200" i="17"/>
  <c r="B2199" i="17"/>
  <c r="B2198" i="17"/>
  <c r="B2197" i="17"/>
  <c r="B2196" i="17"/>
  <c r="B2195" i="17"/>
  <c r="B2194" i="17"/>
  <c r="B2193" i="17"/>
  <c r="B2192" i="17"/>
  <c r="B2191" i="17"/>
  <c r="B2190" i="17"/>
  <c r="B2189" i="17"/>
  <c r="B2188" i="17"/>
  <c r="B2187" i="17"/>
  <c r="B2186" i="17"/>
  <c r="B2185" i="17"/>
  <c r="B2184" i="17"/>
  <c r="B2183" i="17"/>
  <c r="B2182" i="17"/>
  <c r="B2181" i="17"/>
  <c r="B2180" i="17"/>
  <c r="B2179" i="17"/>
  <c r="B2178" i="17"/>
  <c r="B2177" i="17"/>
  <c r="B2176" i="17"/>
  <c r="B2175" i="17"/>
  <c r="B2174" i="17"/>
  <c r="B2173" i="17"/>
  <c r="B2172" i="17"/>
  <c r="B2171" i="17"/>
  <c r="B2170" i="17"/>
  <c r="B2169" i="17"/>
  <c r="B2168" i="17"/>
  <c r="B2167" i="17"/>
  <c r="B2166" i="17"/>
  <c r="B2165" i="17"/>
  <c r="B2164" i="17"/>
  <c r="B2163" i="17"/>
  <c r="B2162" i="17"/>
  <c r="B2161" i="17"/>
  <c r="B2160" i="17"/>
  <c r="B2159" i="17"/>
  <c r="B2158" i="17"/>
  <c r="B2157" i="17"/>
  <c r="B2156" i="17"/>
  <c r="B2155" i="17"/>
  <c r="B2154" i="17"/>
  <c r="B2153" i="17"/>
  <c r="B2152" i="17"/>
  <c r="B2151" i="17"/>
  <c r="B2150" i="17"/>
  <c r="B2149" i="17"/>
  <c r="B2148" i="17"/>
  <c r="B2147" i="17"/>
  <c r="B2146" i="17"/>
  <c r="B2145" i="17"/>
  <c r="B2144" i="17"/>
  <c r="B2143" i="17"/>
  <c r="B2142" i="17"/>
  <c r="B2141" i="17"/>
  <c r="B2140" i="17"/>
  <c r="B2139" i="17"/>
  <c r="B2138" i="17"/>
  <c r="B2137" i="17"/>
  <c r="B2136" i="17"/>
  <c r="B2135" i="17"/>
  <c r="B2134" i="17"/>
  <c r="B2133" i="17"/>
  <c r="B2132" i="17"/>
  <c r="B2131" i="17"/>
  <c r="B2130" i="17"/>
  <c r="B2129" i="17"/>
  <c r="B2128" i="17"/>
  <c r="B2127" i="17"/>
  <c r="B2126" i="17"/>
  <c r="B2125" i="17"/>
  <c r="B2124" i="17"/>
  <c r="B2123" i="17"/>
  <c r="B2122" i="17"/>
  <c r="B2121" i="17"/>
  <c r="B2120" i="17"/>
  <c r="B2119" i="17"/>
  <c r="B2118" i="17"/>
  <c r="B2117" i="17"/>
  <c r="B2116" i="17"/>
  <c r="B2115" i="17"/>
  <c r="B2114" i="17"/>
  <c r="B2113" i="17"/>
  <c r="B2112" i="17"/>
  <c r="B2111" i="17"/>
  <c r="B2110" i="17"/>
  <c r="B2109" i="17"/>
  <c r="B2108" i="17"/>
  <c r="B2107" i="17"/>
  <c r="B2106" i="17"/>
  <c r="B2105" i="17"/>
  <c r="B2104" i="17"/>
  <c r="B2103" i="17"/>
  <c r="B2102" i="17"/>
  <c r="B2101" i="17"/>
  <c r="B2100" i="17"/>
  <c r="B2099" i="17"/>
  <c r="B2098" i="17"/>
  <c r="B2097" i="17"/>
  <c r="B2096" i="17"/>
  <c r="B2095" i="17"/>
  <c r="B2094" i="17"/>
  <c r="B2093" i="17"/>
  <c r="B2092" i="17"/>
  <c r="B2091" i="17"/>
  <c r="B2090" i="17"/>
  <c r="B2089" i="17"/>
  <c r="B2088" i="17"/>
  <c r="B2087" i="17"/>
  <c r="B2086" i="17"/>
  <c r="B2085" i="17"/>
  <c r="B2084" i="17"/>
  <c r="B2083" i="17"/>
  <c r="B2082" i="17"/>
  <c r="B2081" i="17"/>
  <c r="B2080" i="17"/>
  <c r="B2079" i="17"/>
  <c r="B2078" i="17"/>
  <c r="B2077" i="17"/>
  <c r="B2076" i="17"/>
  <c r="B2075" i="17"/>
  <c r="B2074" i="17"/>
  <c r="B2073" i="17"/>
  <c r="B2072" i="17"/>
  <c r="B2071" i="17"/>
  <c r="B2070" i="17"/>
  <c r="B2069" i="17"/>
  <c r="B2068" i="17"/>
  <c r="B2067" i="17"/>
  <c r="B2066" i="17"/>
  <c r="B2065" i="17"/>
  <c r="B2064" i="17"/>
  <c r="B2063" i="17"/>
  <c r="B2062" i="17"/>
  <c r="B2061" i="17"/>
  <c r="B2060" i="17"/>
  <c r="B2059" i="17"/>
  <c r="B2058" i="17"/>
  <c r="B2057" i="17"/>
  <c r="B2056" i="17"/>
  <c r="B2055" i="17"/>
  <c r="B2054" i="17"/>
  <c r="B2053" i="17"/>
  <c r="B2052" i="17"/>
  <c r="B2051" i="17"/>
  <c r="B2050" i="17"/>
  <c r="B2049" i="17"/>
  <c r="B2048" i="17"/>
  <c r="B2047" i="17"/>
  <c r="B2046" i="17"/>
  <c r="B2045" i="17"/>
  <c r="B2044" i="17"/>
  <c r="B2043" i="17"/>
  <c r="B2042" i="17"/>
  <c r="B2041" i="17"/>
  <c r="B2040" i="17"/>
  <c r="B2039" i="17"/>
  <c r="B2038" i="17"/>
  <c r="B2037" i="17"/>
  <c r="B2036" i="17"/>
  <c r="B2035" i="17"/>
  <c r="B2034" i="17"/>
  <c r="B2033" i="17"/>
  <c r="B2032" i="17"/>
  <c r="B2031" i="17"/>
  <c r="B2030" i="17"/>
  <c r="B2029" i="17"/>
  <c r="B2028" i="17"/>
  <c r="B2027" i="17"/>
  <c r="B2026" i="17"/>
  <c r="B2025" i="17"/>
  <c r="B2024" i="17"/>
  <c r="B2023" i="17"/>
  <c r="B2022" i="17"/>
  <c r="B2021" i="17"/>
  <c r="B2020" i="17"/>
  <c r="B2019" i="17"/>
  <c r="B2018" i="17"/>
  <c r="B2017" i="17"/>
  <c r="B2016" i="17"/>
  <c r="B2015" i="17"/>
  <c r="B2014" i="17"/>
  <c r="B2013" i="17"/>
  <c r="B2012" i="17"/>
  <c r="B2011" i="17"/>
  <c r="B2010" i="17"/>
  <c r="B2009" i="17"/>
  <c r="B2008" i="17"/>
  <c r="B2007" i="17"/>
  <c r="B2006" i="17"/>
  <c r="B2005" i="17"/>
  <c r="B2004" i="17"/>
  <c r="B2003" i="17"/>
  <c r="B2002" i="17"/>
  <c r="B2001" i="17"/>
  <c r="B2000" i="17"/>
  <c r="B1999" i="17"/>
  <c r="B1998" i="17"/>
  <c r="B1997" i="17"/>
  <c r="B1996" i="17"/>
  <c r="B1995" i="17"/>
  <c r="B1994" i="17"/>
  <c r="B1993" i="17"/>
  <c r="B1992" i="17"/>
  <c r="B1991" i="17"/>
  <c r="B1990" i="17"/>
  <c r="B1989" i="17"/>
  <c r="B1988" i="17"/>
  <c r="B1987" i="17"/>
  <c r="B1986" i="17"/>
  <c r="B1985" i="17"/>
  <c r="B1984" i="17"/>
  <c r="B1983" i="17"/>
  <c r="B1982" i="17"/>
  <c r="B1981" i="17"/>
  <c r="B1980" i="17"/>
  <c r="B1979" i="17"/>
  <c r="B1978" i="17"/>
  <c r="B1977" i="17"/>
  <c r="B1976" i="17"/>
  <c r="B1975" i="17"/>
  <c r="B1974" i="17"/>
  <c r="B1973" i="17"/>
  <c r="B1972" i="17"/>
  <c r="B1971" i="17"/>
  <c r="B1970" i="17"/>
  <c r="B1969" i="17"/>
  <c r="B1968" i="17"/>
  <c r="B1967" i="17"/>
  <c r="B1966" i="17"/>
  <c r="B1965" i="17"/>
  <c r="B1964" i="17"/>
  <c r="B1963" i="17"/>
  <c r="B1962" i="17"/>
  <c r="B1961" i="17"/>
  <c r="B1960" i="17"/>
  <c r="B1959" i="17"/>
  <c r="B1958" i="17"/>
  <c r="B1957" i="17"/>
  <c r="B1956" i="17"/>
  <c r="B1955" i="17"/>
  <c r="B1954" i="17"/>
  <c r="B1953" i="17"/>
  <c r="B1952" i="17"/>
  <c r="B1951" i="17"/>
  <c r="B1950" i="17"/>
  <c r="B1949" i="17"/>
  <c r="B1948" i="17"/>
  <c r="B1947" i="17"/>
  <c r="B1946" i="17"/>
  <c r="B1945" i="17"/>
  <c r="B1944" i="17"/>
  <c r="B1943" i="17"/>
  <c r="B1942" i="17"/>
  <c r="B1941" i="17"/>
  <c r="B1940" i="17"/>
  <c r="B1939" i="17"/>
  <c r="B1938" i="17"/>
  <c r="B1937" i="17"/>
  <c r="B1936" i="17"/>
  <c r="B1935" i="17"/>
  <c r="B1934" i="17"/>
  <c r="B1933" i="17"/>
  <c r="B1932" i="17"/>
  <c r="B1931" i="17"/>
  <c r="B1930" i="17"/>
  <c r="B1929" i="17"/>
  <c r="B1928" i="17"/>
  <c r="B1927" i="17"/>
  <c r="B1926" i="17"/>
  <c r="B1925" i="17"/>
  <c r="B1924" i="17"/>
  <c r="B1923" i="17"/>
  <c r="B1922" i="17"/>
  <c r="B1921" i="17"/>
  <c r="B1920" i="17"/>
  <c r="B1919" i="17"/>
  <c r="B1918" i="17"/>
  <c r="B1917" i="17"/>
  <c r="B1916" i="17"/>
  <c r="B1915" i="17"/>
  <c r="B1914" i="17"/>
  <c r="B1913" i="17"/>
  <c r="B1912" i="17"/>
  <c r="B1911" i="17"/>
  <c r="B1910" i="17"/>
  <c r="B1909" i="17"/>
  <c r="B1908" i="17"/>
  <c r="B1907" i="17"/>
  <c r="B1906" i="17"/>
  <c r="B1905" i="17"/>
  <c r="B1904" i="17"/>
  <c r="B1903" i="17"/>
  <c r="B1902" i="17"/>
  <c r="B1901" i="17"/>
  <c r="B1900" i="17"/>
  <c r="B1899" i="17"/>
  <c r="B1898" i="17"/>
  <c r="B1897" i="17"/>
  <c r="B1896" i="17"/>
  <c r="B1895" i="17"/>
  <c r="B1894" i="17"/>
  <c r="B1893" i="17"/>
  <c r="B1892" i="17"/>
  <c r="B1891" i="17"/>
  <c r="B1890" i="17"/>
  <c r="B1889" i="17"/>
  <c r="B1888" i="17"/>
  <c r="B1887" i="17"/>
  <c r="B1886" i="17"/>
  <c r="B1885" i="17"/>
  <c r="B1884" i="17"/>
  <c r="B1883" i="17"/>
  <c r="B1882" i="17"/>
  <c r="B1881" i="17"/>
  <c r="B1880" i="17"/>
  <c r="B1879" i="17"/>
  <c r="B1878" i="17"/>
  <c r="B1877" i="17"/>
  <c r="B1876" i="17"/>
  <c r="B1875" i="17"/>
  <c r="B1874" i="17"/>
  <c r="B1873" i="17"/>
  <c r="B1872" i="17"/>
  <c r="B1871" i="17"/>
  <c r="B1870" i="17"/>
  <c r="B1869" i="17"/>
  <c r="B1868" i="17"/>
  <c r="B1867" i="17"/>
  <c r="B1866" i="17"/>
  <c r="B1865" i="17"/>
  <c r="B1864" i="17"/>
  <c r="B1863" i="17"/>
  <c r="B1862" i="17"/>
  <c r="B1861" i="17"/>
  <c r="B1860" i="17"/>
  <c r="B1859" i="17"/>
  <c r="B1858" i="17"/>
  <c r="B1857" i="17"/>
  <c r="B1856" i="17"/>
  <c r="B1855" i="17"/>
  <c r="B1854" i="17"/>
  <c r="B1853" i="17"/>
  <c r="B1852" i="17"/>
  <c r="B1851" i="17"/>
  <c r="B1850" i="17"/>
  <c r="B1849" i="17"/>
  <c r="B1848" i="17"/>
  <c r="B1847" i="17"/>
  <c r="B1846" i="17"/>
  <c r="B1845" i="17"/>
  <c r="B1844" i="17"/>
  <c r="B1843" i="17"/>
  <c r="B1842" i="17"/>
  <c r="B1841" i="17"/>
  <c r="B1840" i="17"/>
  <c r="B1839" i="17"/>
  <c r="B1838" i="17"/>
  <c r="B1837" i="17"/>
  <c r="B1836" i="17"/>
  <c r="B1835" i="17"/>
  <c r="B1834" i="17"/>
  <c r="B1833" i="17"/>
  <c r="B1832" i="17"/>
  <c r="B1831" i="17"/>
  <c r="B1830" i="17"/>
  <c r="B1829" i="17"/>
  <c r="B1828" i="17"/>
  <c r="B1827" i="17"/>
  <c r="B1826" i="17"/>
  <c r="B1825" i="17"/>
  <c r="B1824" i="17"/>
  <c r="B1823" i="17"/>
  <c r="B1822" i="17"/>
  <c r="B1821" i="17"/>
  <c r="B1820" i="17"/>
  <c r="B1819" i="17"/>
  <c r="B1818" i="17"/>
  <c r="B1817" i="17"/>
  <c r="B1816" i="17"/>
  <c r="B1815" i="17"/>
  <c r="B1814" i="17"/>
  <c r="B1813" i="17"/>
  <c r="B1812" i="17"/>
  <c r="B1811" i="17"/>
  <c r="B1810" i="17"/>
  <c r="B1809" i="17"/>
  <c r="B1808" i="17"/>
  <c r="B1807" i="17"/>
  <c r="B1806" i="17"/>
  <c r="B1805" i="17"/>
  <c r="B1804" i="17"/>
  <c r="B1803" i="17"/>
  <c r="B1802" i="17"/>
  <c r="B1801" i="17"/>
  <c r="B1800" i="17"/>
  <c r="B1799" i="17"/>
  <c r="B1798" i="17"/>
  <c r="B1797" i="17"/>
  <c r="B1796" i="17"/>
  <c r="B1795" i="17"/>
  <c r="B1794" i="17"/>
  <c r="B1793" i="17"/>
  <c r="B1792" i="17"/>
  <c r="B1791" i="17"/>
  <c r="B1790" i="17"/>
  <c r="B1789" i="17"/>
  <c r="B1788" i="17"/>
  <c r="B1787" i="17"/>
  <c r="B1786" i="17"/>
  <c r="B1785" i="17"/>
  <c r="B1784" i="17"/>
  <c r="B1783" i="17"/>
  <c r="B1782" i="17"/>
  <c r="B1781" i="17"/>
  <c r="B1780" i="17"/>
  <c r="B1779" i="17"/>
  <c r="B1778" i="17"/>
  <c r="B1777" i="17"/>
  <c r="B1776" i="17"/>
  <c r="B1775" i="17"/>
  <c r="B1774" i="17"/>
  <c r="B1773" i="17"/>
  <c r="B1772" i="17"/>
  <c r="B1771" i="17"/>
  <c r="B1770" i="17"/>
  <c r="B1769" i="17"/>
  <c r="B1768" i="17"/>
  <c r="B1767" i="17"/>
  <c r="B1766" i="17"/>
  <c r="B1765" i="17"/>
  <c r="B1764" i="17"/>
  <c r="B1763" i="17"/>
  <c r="B1762" i="17"/>
  <c r="B1761" i="17"/>
  <c r="B1760" i="17"/>
  <c r="B1759" i="17"/>
  <c r="B1758" i="17"/>
  <c r="B1757" i="17"/>
  <c r="B1756" i="17"/>
  <c r="B1755" i="17"/>
  <c r="B1754" i="17"/>
  <c r="B1753" i="17"/>
  <c r="B1752" i="17"/>
  <c r="B1751" i="17"/>
  <c r="B1750" i="17"/>
  <c r="B1749" i="17"/>
  <c r="B1748" i="17"/>
  <c r="B1747" i="17"/>
  <c r="B1746" i="17"/>
  <c r="B1745" i="17"/>
  <c r="B1744" i="17"/>
  <c r="B1743" i="17"/>
  <c r="B1742" i="17"/>
  <c r="B1741" i="17"/>
  <c r="B1740" i="17"/>
  <c r="B1739" i="17"/>
  <c r="B1738" i="17"/>
  <c r="B1737" i="17"/>
  <c r="B1736" i="17"/>
  <c r="B1735" i="17"/>
  <c r="B1734" i="17"/>
  <c r="B1733" i="17"/>
  <c r="B1732" i="17"/>
  <c r="B1731" i="17"/>
  <c r="B1730" i="17"/>
  <c r="B1729" i="17"/>
  <c r="B1728" i="17"/>
  <c r="B1727" i="17"/>
  <c r="B1726" i="17"/>
  <c r="B1725" i="17"/>
  <c r="B1724" i="17"/>
  <c r="B1723" i="17"/>
  <c r="B1722" i="17"/>
  <c r="B1721" i="17"/>
  <c r="B1720" i="17"/>
  <c r="B1719" i="17"/>
  <c r="B1718" i="17"/>
  <c r="B1717" i="17"/>
  <c r="B1716" i="17"/>
  <c r="B1715" i="17"/>
  <c r="B1714" i="17"/>
  <c r="B1713" i="17"/>
  <c r="B1712" i="17"/>
  <c r="B1711" i="17"/>
  <c r="B1710" i="17"/>
  <c r="B1709" i="17"/>
  <c r="B1708" i="17"/>
  <c r="B1707" i="17"/>
  <c r="B1706" i="17"/>
  <c r="B1705" i="17"/>
  <c r="B1704" i="17"/>
  <c r="B1703" i="17"/>
  <c r="B1702" i="17"/>
  <c r="B1701" i="17"/>
  <c r="B1700" i="17"/>
  <c r="B1699" i="17"/>
  <c r="B1698" i="17"/>
  <c r="B1697" i="17"/>
  <c r="B1696" i="17"/>
  <c r="B1695" i="17"/>
  <c r="B1694" i="17"/>
  <c r="B1693" i="17"/>
  <c r="B1692" i="17"/>
  <c r="B1691" i="17"/>
  <c r="B1690" i="17"/>
  <c r="B1689" i="17"/>
  <c r="B1688" i="17"/>
  <c r="B1687" i="17"/>
  <c r="B1686" i="17"/>
  <c r="B1685" i="17"/>
  <c r="B1684" i="17"/>
  <c r="B1683" i="17"/>
  <c r="B1682" i="17"/>
  <c r="B1681" i="17"/>
  <c r="B1680" i="17"/>
  <c r="B1679" i="17"/>
  <c r="B1678" i="17"/>
  <c r="B1677" i="17"/>
  <c r="B1676" i="17"/>
  <c r="B1675" i="17"/>
  <c r="B1674" i="17"/>
  <c r="B1673" i="17"/>
  <c r="B1672" i="17"/>
  <c r="B1671" i="17"/>
  <c r="B1670" i="17"/>
  <c r="B1669" i="17"/>
  <c r="B1668" i="17"/>
  <c r="B1667" i="17"/>
  <c r="B1666" i="17"/>
  <c r="B1665" i="17"/>
  <c r="B1664" i="17"/>
  <c r="B1663" i="17"/>
  <c r="B1662" i="17"/>
  <c r="B1661" i="17"/>
  <c r="B1660" i="17"/>
  <c r="B1659" i="17"/>
  <c r="B1658" i="17"/>
  <c r="B1657" i="17"/>
  <c r="B1656" i="17"/>
  <c r="B1655" i="17"/>
  <c r="B1654" i="17"/>
  <c r="B1653" i="17"/>
  <c r="B1652" i="17"/>
  <c r="B1651" i="17"/>
  <c r="B1650" i="17"/>
  <c r="B1649" i="17"/>
  <c r="B1648" i="17"/>
  <c r="B1647" i="17"/>
  <c r="B1646" i="17"/>
  <c r="B1645" i="17"/>
  <c r="B1644" i="17"/>
  <c r="B1643" i="17"/>
  <c r="B1642" i="17"/>
  <c r="B1641" i="17"/>
  <c r="B1640" i="17"/>
  <c r="B1639" i="17"/>
  <c r="B1638" i="17"/>
  <c r="B1637" i="17"/>
  <c r="B1636" i="17"/>
  <c r="B1635" i="17"/>
  <c r="B1634" i="17"/>
  <c r="B1633" i="17"/>
  <c r="B1632" i="17"/>
  <c r="B1631" i="17"/>
  <c r="B1630" i="17"/>
  <c r="B1629" i="17"/>
  <c r="B1628" i="17"/>
  <c r="B1627" i="17"/>
  <c r="B1626" i="17"/>
  <c r="B1625" i="17"/>
  <c r="B1624" i="17"/>
  <c r="B1623" i="17"/>
  <c r="B1622" i="17"/>
  <c r="B1621" i="17"/>
  <c r="B1620" i="17"/>
  <c r="B1619" i="17"/>
  <c r="B1618" i="17"/>
  <c r="B1617" i="17"/>
  <c r="B1616" i="17"/>
  <c r="B1615" i="17"/>
  <c r="B1614" i="17"/>
  <c r="B1613" i="17"/>
  <c r="B1612" i="17"/>
  <c r="B1611" i="17"/>
  <c r="B1610" i="17"/>
  <c r="B1609" i="17"/>
  <c r="B1608" i="17"/>
  <c r="B1607" i="17"/>
  <c r="B1606" i="17"/>
  <c r="B1605" i="17"/>
  <c r="B1604" i="17"/>
  <c r="B1603" i="17"/>
  <c r="B1602" i="17"/>
  <c r="B1601" i="17"/>
  <c r="B1600" i="17"/>
  <c r="B1599" i="17"/>
  <c r="B1598" i="17"/>
  <c r="B1597" i="17"/>
  <c r="B1596" i="17"/>
  <c r="B1595" i="17"/>
  <c r="B1594" i="17"/>
  <c r="B1593" i="17"/>
  <c r="B1592" i="17"/>
  <c r="B1591" i="17"/>
  <c r="B1590" i="17"/>
  <c r="B1589" i="17"/>
  <c r="B1588" i="17"/>
  <c r="B1587" i="17"/>
  <c r="B1586" i="17"/>
  <c r="B1585" i="17"/>
  <c r="B1584" i="17"/>
  <c r="B1583" i="17"/>
  <c r="B1582" i="17"/>
  <c r="B1581" i="17"/>
  <c r="B1580" i="17"/>
  <c r="B1579" i="17"/>
  <c r="B1578" i="17"/>
  <c r="B1577" i="17"/>
  <c r="B1576" i="17"/>
  <c r="B1575" i="17"/>
  <c r="B1574" i="17"/>
  <c r="B1573" i="17"/>
  <c r="B1572" i="17"/>
  <c r="B1571" i="17"/>
  <c r="B1570" i="17"/>
  <c r="B1569" i="17"/>
  <c r="B1568" i="17"/>
  <c r="B1567" i="17"/>
  <c r="B1566" i="17"/>
  <c r="B1565" i="17"/>
  <c r="B1564" i="17"/>
  <c r="B1563" i="17"/>
  <c r="B1562" i="17"/>
  <c r="B1561" i="17"/>
  <c r="B1560" i="17"/>
  <c r="B1559" i="17"/>
  <c r="B1558" i="17"/>
  <c r="B1557" i="17"/>
  <c r="B1556" i="17"/>
  <c r="B1555" i="17"/>
  <c r="B1554" i="17"/>
  <c r="B1553" i="17"/>
  <c r="B1552" i="17"/>
  <c r="B1551" i="17"/>
  <c r="B1550" i="17"/>
  <c r="B1549" i="17"/>
  <c r="B1548" i="17"/>
  <c r="B1547" i="17"/>
  <c r="B1546" i="17"/>
  <c r="B1545" i="17"/>
  <c r="B1544" i="17"/>
  <c r="B1543" i="17"/>
  <c r="B1542" i="17"/>
  <c r="B1541" i="17"/>
  <c r="B1540" i="17"/>
  <c r="B1539" i="17"/>
  <c r="B1538" i="17"/>
  <c r="B1537" i="17"/>
  <c r="B1536" i="17"/>
  <c r="B1535" i="17"/>
  <c r="B1534" i="17"/>
  <c r="B1533" i="17"/>
  <c r="B1532" i="17"/>
  <c r="B1531" i="17"/>
  <c r="B1530" i="17"/>
  <c r="B1529" i="17"/>
  <c r="B1528" i="17"/>
  <c r="B1527" i="17"/>
  <c r="B1526" i="17"/>
  <c r="B1525" i="17"/>
  <c r="B1524" i="17"/>
  <c r="B1523" i="17"/>
  <c r="B1522" i="17"/>
  <c r="B1521" i="17"/>
  <c r="B1520" i="17"/>
  <c r="B1519" i="17"/>
  <c r="B1518" i="17"/>
  <c r="B1517" i="17"/>
  <c r="B1516" i="17"/>
  <c r="B1515" i="17"/>
  <c r="B1514" i="17"/>
  <c r="B1513" i="17"/>
  <c r="B1512" i="17"/>
  <c r="B1511" i="17"/>
  <c r="B1510" i="17"/>
  <c r="B1509" i="17"/>
  <c r="B1508" i="17"/>
  <c r="B1507" i="17"/>
  <c r="B1506" i="17"/>
  <c r="B1505" i="17"/>
  <c r="B1504" i="17"/>
  <c r="B1503" i="17"/>
  <c r="B1502" i="17"/>
  <c r="B1501" i="17"/>
  <c r="B1500" i="17"/>
  <c r="B1499" i="17"/>
  <c r="B1498" i="17"/>
  <c r="B1497" i="17"/>
  <c r="B1496" i="17"/>
  <c r="B1495" i="17"/>
  <c r="B1494" i="17"/>
  <c r="B1493" i="17"/>
  <c r="B1492" i="17"/>
  <c r="B1491" i="17"/>
  <c r="B1490" i="17"/>
  <c r="B1489" i="17"/>
  <c r="B1488" i="17"/>
  <c r="B1487" i="17"/>
  <c r="B1486" i="17"/>
  <c r="B1485" i="17"/>
  <c r="B1484" i="17"/>
  <c r="B1483" i="17"/>
  <c r="B1482" i="17"/>
  <c r="B1481" i="17"/>
  <c r="B1480" i="17"/>
  <c r="B1479" i="17"/>
  <c r="B1478" i="17"/>
  <c r="B1477" i="17"/>
  <c r="B1476" i="17"/>
  <c r="B1475" i="17"/>
  <c r="B1474" i="17"/>
  <c r="B1473" i="17"/>
  <c r="B1472" i="17"/>
  <c r="B1471" i="17"/>
  <c r="B1470" i="17"/>
  <c r="B1469" i="17"/>
  <c r="B1468" i="17"/>
  <c r="B1467" i="17"/>
  <c r="B1466" i="17"/>
  <c r="B1465" i="17"/>
  <c r="B1464" i="17"/>
  <c r="B1463" i="17"/>
  <c r="B1462" i="17"/>
  <c r="B1461" i="17"/>
  <c r="B1460" i="17"/>
  <c r="B1459" i="17"/>
  <c r="B1458" i="17"/>
  <c r="B1457" i="17"/>
  <c r="B1456" i="17"/>
  <c r="B1455" i="17"/>
  <c r="B1454" i="17"/>
  <c r="B1453" i="17"/>
  <c r="B1452" i="17"/>
  <c r="B1451" i="17"/>
  <c r="B1450" i="17"/>
  <c r="B1449" i="17"/>
  <c r="B1448" i="17"/>
  <c r="B1447" i="17"/>
  <c r="B1446" i="17"/>
  <c r="B1445" i="17"/>
  <c r="B1444" i="17"/>
  <c r="B1443" i="17"/>
  <c r="B1442" i="17"/>
  <c r="B1441" i="17"/>
  <c r="B1440" i="17"/>
  <c r="B1439" i="17"/>
  <c r="B1438" i="17"/>
  <c r="B1437" i="17"/>
  <c r="B1436" i="17"/>
  <c r="B1435" i="17"/>
  <c r="B1434" i="17"/>
  <c r="B1433" i="17"/>
  <c r="B1432" i="17"/>
  <c r="B1431" i="17"/>
  <c r="B1430" i="17"/>
  <c r="B1429" i="17"/>
  <c r="B1428" i="17"/>
  <c r="B1427" i="17"/>
  <c r="B1426" i="17"/>
  <c r="B1425" i="17"/>
  <c r="B1424" i="17"/>
  <c r="B1423" i="17"/>
  <c r="B1422" i="17"/>
  <c r="B1421" i="17"/>
  <c r="B1420" i="17"/>
  <c r="B1419" i="17"/>
  <c r="B1418" i="17"/>
  <c r="B1417" i="17"/>
  <c r="B1416" i="17"/>
  <c r="B1415" i="17"/>
  <c r="B1414" i="17"/>
  <c r="B1413" i="17"/>
  <c r="B1412" i="17"/>
  <c r="B1411" i="17"/>
  <c r="B1410" i="17"/>
  <c r="B1409" i="17"/>
  <c r="B1408" i="17"/>
  <c r="B1407" i="17"/>
  <c r="B1406" i="17"/>
  <c r="B1405" i="17"/>
  <c r="B1404" i="17"/>
  <c r="B1403" i="17"/>
  <c r="B1402" i="17"/>
  <c r="B1401" i="17"/>
  <c r="B1400" i="17"/>
  <c r="B1399" i="17"/>
  <c r="B1398" i="17"/>
  <c r="B1397" i="17"/>
  <c r="B1396" i="17"/>
  <c r="B1395" i="17"/>
  <c r="B1394" i="17"/>
  <c r="B1393" i="17"/>
  <c r="B1392" i="17"/>
  <c r="B1391" i="17"/>
  <c r="B1390" i="17"/>
  <c r="B1389" i="17"/>
  <c r="B1388" i="17"/>
  <c r="B1387" i="17"/>
  <c r="B1386" i="17"/>
  <c r="B1385" i="17"/>
  <c r="B1384" i="17"/>
  <c r="B1383" i="17"/>
  <c r="B1382" i="17"/>
  <c r="B1381" i="17"/>
  <c r="B1380" i="17"/>
  <c r="B1379" i="17"/>
  <c r="B1378" i="17"/>
  <c r="B1377" i="17"/>
  <c r="B1376" i="17"/>
  <c r="B1375" i="17"/>
  <c r="B1374" i="17"/>
  <c r="B1373" i="17"/>
  <c r="B1372" i="17"/>
  <c r="B1371" i="17"/>
  <c r="B1370" i="17"/>
  <c r="B1369" i="17"/>
  <c r="B1368" i="17"/>
  <c r="B1367" i="17"/>
  <c r="B1366" i="17"/>
  <c r="B1365" i="17"/>
  <c r="B1364" i="17"/>
  <c r="B1363" i="17"/>
  <c r="B1362" i="17"/>
  <c r="B1361" i="17"/>
  <c r="B1360" i="17"/>
  <c r="B1359" i="17"/>
  <c r="B1358" i="17"/>
  <c r="B1357" i="17"/>
  <c r="B1356" i="17"/>
  <c r="B1355" i="17"/>
  <c r="B1354" i="17"/>
  <c r="B1353" i="17"/>
  <c r="B1352" i="17"/>
  <c r="B1351" i="17"/>
  <c r="B1350" i="17"/>
  <c r="B1349" i="17"/>
  <c r="B1348" i="17"/>
  <c r="B1347" i="17"/>
  <c r="B1346" i="17"/>
  <c r="B1345" i="17"/>
  <c r="B1344" i="17"/>
  <c r="B1343" i="17"/>
  <c r="B1342" i="17"/>
  <c r="B1341" i="17"/>
  <c r="B1340" i="17"/>
  <c r="B1339" i="17"/>
  <c r="B1338" i="17"/>
  <c r="B1337" i="17"/>
  <c r="B1336" i="17"/>
  <c r="B1335" i="17"/>
  <c r="B1334" i="17"/>
  <c r="B1333" i="17"/>
  <c r="B1332" i="17"/>
  <c r="B1331" i="17"/>
  <c r="B1330" i="17"/>
  <c r="B1329" i="17"/>
  <c r="B1328" i="17"/>
  <c r="B1327" i="17"/>
  <c r="B1326" i="17"/>
  <c r="B1325" i="17"/>
  <c r="B1324" i="17"/>
  <c r="B1323" i="17"/>
  <c r="B1322" i="17"/>
  <c r="B1321" i="17"/>
  <c r="B1320" i="17"/>
  <c r="B1319" i="17"/>
  <c r="B1318" i="17"/>
  <c r="B1317" i="17"/>
  <c r="B1316" i="17"/>
  <c r="B1315" i="17"/>
  <c r="B1314" i="17"/>
  <c r="B1313" i="17"/>
  <c r="B1312" i="17"/>
  <c r="B1311" i="17"/>
  <c r="B1310" i="17"/>
  <c r="B1309" i="17"/>
  <c r="B1308" i="17"/>
  <c r="B1307" i="17"/>
  <c r="B1306" i="17"/>
  <c r="B1305" i="17"/>
  <c r="B1304" i="17"/>
  <c r="B1303" i="17"/>
  <c r="B1302" i="17"/>
  <c r="B1301" i="17"/>
  <c r="B1300" i="17"/>
  <c r="B1299" i="17"/>
  <c r="B1298" i="17"/>
  <c r="B1297" i="17"/>
  <c r="B1296" i="17"/>
  <c r="B1295" i="17"/>
  <c r="B1294" i="17"/>
  <c r="B1293" i="17"/>
  <c r="B1292" i="17"/>
  <c r="B1291" i="17"/>
  <c r="B1290" i="17"/>
  <c r="B1289" i="17"/>
  <c r="B1288" i="17"/>
  <c r="B1287" i="17"/>
  <c r="B1286" i="17"/>
  <c r="B1285" i="17"/>
  <c r="B1284" i="17"/>
  <c r="B1283" i="17"/>
  <c r="B1282" i="17"/>
  <c r="B1281" i="17"/>
  <c r="B1280" i="17"/>
  <c r="B1279" i="17"/>
  <c r="B1278" i="17"/>
  <c r="B1277" i="17"/>
  <c r="B1276" i="17"/>
  <c r="B1275" i="17"/>
  <c r="B1274" i="17"/>
  <c r="B1273" i="17"/>
  <c r="B1272" i="17"/>
  <c r="B1271" i="17"/>
  <c r="B1270" i="17"/>
  <c r="B1269" i="17"/>
  <c r="B1268" i="17"/>
  <c r="B1267" i="17"/>
  <c r="B1266" i="17"/>
  <c r="B1265" i="17"/>
  <c r="B1264" i="17"/>
  <c r="B1263" i="17"/>
  <c r="B1262" i="17"/>
  <c r="B1261" i="17"/>
  <c r="B1260" i="17"/>
  <c r="B1259" i="17"/>
  <c r="B1258" i="17"/>
  <c r="B1257" i="17"/>
  <c r="B1256" i="17"/>
  <c r="B1255" i="17"/>
  <c r="B1254" i="17"/>
  <c r="B1253" i="17"/>
  <c r="B1252" i="17"/>
  <c r="B1251" i="17"/>
  <c r="B1250" i="17"/>
  <c r="B1249" i="17"/>
  <c r="B1248" i="17"/>
  <c r="B1247" i="17"/>
  <c r="B1246" i="17"/>
  <c r="B1245" i="17"/>
  <c r="B1244" i="17"/>
  <c r="B1243" i="17"/>
  <c r="B1242" i="17"/>
  <c r="B1241" i="17"/>
  <c r="B1240" i="17"/>
  <c r="B1239" i="17"/>
  <c r="B1238" i="17"/>
  <c r="B1237" i="17"/>
  <c r="B1236" i="17"/>
  <c r="B1235" i="17"/>
  <c r="B1234" i="17"/>
  <c r="B1233" i="17"/>
  <c r="B1232" i="17"/>
  <c r="B1231" i="17"/>
  <c r="B1230" i="17"/>
  <c r="B1229" i="17"/>
  <c r="B1228" i="17"/>
  <c r="B1227" i="17"/>
  <c r="B1226" i="17"/>
  <c r="B1225" i="17"/>
  <c r="B1224" i="17"/>
  <c r="B1223" i="17"/>
  <c r="B1222" i="17"/>
  <c r="B1221" i="17"/>
  <c r="B1220" i="17"/>
  <c r="B1219" i="17"/>
  <c r="B1218" i="17"/>
  <c r="B1217" i="17"/>
  <c r="B1216" i="17"/>
  <c r="B1215" i="17"/>
  <c r="B1214" i="17"/>
  <c r="B1213" i="17"/>
  <c r="B1212" i="17"/>
  <c r="B1211" i="17"/>
  <c r="B1210" i="17"/>
  <c r="B1209" i="17"/>
  <c r="B1208" i="17"/>
  <c r="B1207" i="17"/>
  <c r="B1206" i="17"/>
  <c r="B1205" i="17"/>
  <c r="B1204" i="17"/>
  <c r="B1203" i="17"/>
  <c r="B1202" i="17"/>
  <c r="B1201" i="17"/>
  <c r="B1200" i="17"/>
  <c r="B1199" i="17"/>
  <c r="B1198" i="17"/>
  <c r="B1197" i="17"/>
  <c r="B1196" i="17"/>
  <c r="B1195" i="17"/>
  <c r="B1194" i="17"/>
  <c r="B1193" i="17"/>
  <c r="B1192" i="17"/>
  <c r="B1191" i="17"/>
  <c r="B1190" i="17"/>
  <c r="B1189" i="17"/>
  <c r="B1188" i="17"/>
  <c r="B1187" i="17"/>
  <c r="B1186" i="17"/>
  <c r="B1185" i="17"/>
  <c r="B1184" i="17"/>
  <c r="B1183" i="17"/>
  <c r="B1182" i="17"/>
  <c r="B1181" i="17"/>
  <c r="B1180" i="17"/>
  <c r="B1179" i="17"/>
  <c r="B1178" i="17"/>
  <c r="B1177" i="17"/>
  <c r="B1176" i="17"/>
  <c r="B1175" i="17"/>
  <c r="B1174" i="17"/>
  <c r="B1173" i="17"/>
  <c r="B1172" i="17"/>
  <c r="B1171" i="17"/>
  <c r="B1170" i="17"/>
  <c r="B1169" i="17"/>
  <c r="B1168" i="17"/>
  <c r="B1167" i="17"/>
  <c r="B1166" i="17"/>
  <c r="B1165" i="17"/>
  <c r="B1164" i="17"/>
  <c r="B1163" i="17"/>
  <c r="B1162" i="17"/>
  <c r="B1161" i="17"/>
  <c r="B1160" i="17"/>
  <c r="B1159" i="17"/>
  <c r="B1158" i="17"/>
  <c r="B1157" i="17"/>
  <c r="B1156" i="17"/>
  <c r="B1155" i="17"/>
  <c r="B1154" i="17"/>
  <c r="B1153" i="17"/>
  <c r="B1152" i="17"/>
  <c r="B1151" i="17"/>
  <c r="B1150" i="17"/>
  <c r="B1149" i="17"/>
  <c r="B1148" i="17"/>
  <c r="B1147" i="17"/>
  <c r="B1146" i="17"/>
  <c r="B1145" i="17"/>
  <c r="B1144" i="17"/>
  <c r="B1143" i="17"/>
  <c r="B1142" i="17"/>
  <c r="B1141" i="17"/>
  <c r="B1140" i="17"/>
  <c r="B1139" i="17"/>
  <c r="B1138" i="17"/>
  <c r="B1137" i="17"/>
  <c r="B1136" i="17"/>
  <c r="B1135" i="17"/>
  <c r="B1134" i="17"/>
  <c r="B1133" i="17"/>
  <c r="B1132" i="17"/>
  <c r="B1131" i="17"/>
  <c r="B1130" i="17"/>
  <c r="B1129" i="17"/>
  <c r="B1128" i="17"/>
  <c r="B1127" i="17"/>
  <c r="B1126" i="17"/>
  <c r="B1125" i="17"/>
  <c r="B1124" i="17"/>
  <c r="B1123" i="17"/>
  <c r="B1122" i="17"/>
  <c r="B1121" i="17"/>
  <c r="B1120" i="17"/>
  <c r="B1119" i="17"/>
  <c r="B1118" i="17"/>
  <c r="B1117" i="17"/>
  <c r="B1116" i="17"/>
  <c r="B1115" i="17"/>
  <c r="B1114" i="17"/>
  <c r="B1113" i="17"/>
  <c r="B1112" i="17"/>
  <c r="B1111" i="17"/>
  <c r="B1110" i="17"/>
  <c r="B1109" i="17"/>
  <c r="B1108" i="17"/>
  <c r="B1107" i="17"/>
  <c r="B1106" i="17"/>
  <c r="B1105" i="17"/>
  <c r="B1104" i="17"/>
  <c r="B1103" i="17"/>
  <c r="B1102" i="17"/>
  <c r="B1101" i="17"/>
  <c r="B1100" i="17"/>
  <c r="B1099" i="17"/>
  <c r="B1098" i="17"/>
  <c r="B1097" i="17"/>
  <c r="B1096" i="17"/>
  <c r="B1095" i="17"/>
  <c r="B1094" i="17"/>
  <c r="B1093" i="17"/>
  <c r="B1092" i="17"/>
  <c r="B1091" i="17"/>
  <c r="B1090" i="17"/>
  <c r="B1089" i="17"/>
  <c r="B1088" i="17"/>
  <c r="B1087" i="17"/>
  <c r="B1086" i="17"/>
  <c r="B1085" i="17"/>
  <c r="B1084" i="17"/>
  <c r="B1083" i="17"/>
  <c r="B1082" i="17"/>
  <c r="B1081" i="17"/>
  <c r="B1080" i="17"/>
  <c r="B1079" i="17"/>
  <c r="B1078" i="17"/>
  <c r="B1077" i="17"/>
  <c r="B1076" i="17"/>
  <c r="B1075" i="17"/>
  <c r="B1074" i="17"/>
  <c r="B1073" i="17"/>
  <c r="B1072" i="17"/>
  <c r="B1071" i="17"/>
  <c r="B1070" i="17"/>
  <c r="B1069" i="17"/>
  <c r="B1068" i="17"/>
  <c r="B1067" i="17"/>
  <c r="B1066" i="17"/>
  <c r="B1065" i="17"/>
  <c r="B1064" i="17"/>
  <c r="B1063" i="17"/>
  <c r="B1062" i="17"/>
  <c r="B1061" i="17"/>
  <c r="B1060" i="17"/>
  <c r="B1059" i="17"/>
  <c r="B1058" i="17"/>
  <c r="B1057" i="17"/>
  <c r="B1056" i="17"/>
  <c r="B1055" i="17"/>
  <c r="B1054" i="17"/>
  <c r="B1053" i="17"/>
  <c r="B1052" i="17"/>
  <c r="B1051" i="17"/>
  <c r="B1050" i="17"/>
  <c r="B1049" i="17"/>
  <c r="B1048" i="17"/>
  <c r="B1047" i="17"/>
  <c r="B1046" i="17"/>
  <c r="B1045" i="17"/>
  <c r="B1044" i="17"/>
  <c r="B1043" i="17"/>
  <c r="B1042" i="17"/>
  <c r="B1041" i="17"/>
  <c r="B1040" i="17"/>
  <c r="B1039" i="17"/>
  <c r="B1038" i="17"/>
  <c r="B1037" i="17"/>
  <c r="B1036" i="17"/>
  <c r="B1035" i="17"/>
  <c r="B1034" i="17"/>
  <c r="B1033" i="17"/>
  <c r="B1032" i="17"/>
  <c r="B1031" i="17"/>
  <c r="B1030" i="17"/>
  <c r="B1029" i="17"/>
  <c r="B1028" i="17"/>
  <c r="B1027" i="17"/>
  <c r="B1026" i="17"/>
  <c r="B1025" i="17"/>
  <c r="B1024" i="17"/>
  <c r="B1023" i="17"/>
  <c r="B1022" i="17"/>
  <c r="B1021" i="17"/>
  <c r="B1020" i="17"/>
  <c r="B1019" i="17"/>
  <c r="B1018" i="17"/>
  <c r="B1017" i="17"/>
  <c r="B1016" i="17"/>
  <c r="B1015" i="17"/>
  <c r="B1014" i="17"/>
  <c r="B1013" i="17"/>
  <c r="B1012" i="17"/>
  <c r="B1011" i="17"/>
  <c r="B1010" i="17"/>
  <c r="B1009" i="17"/>
  <c r="B1008" i="17"/>
  <c r="B1007" i="17"/>
  <c r="B1006" i="17"/>
  <c r="B1005" i="17"/>
  <c r="B1004" i="17"/>
  <c r="B1003" i="17"/>
  <c r="B1002" i="17"/>
  <c r="B1001" i="17"/>
  <c r="B1000" i="17"/>
  <c r="B999" i="17"/>
  <c r="B998" i="17"/>
  <c r="B997" i="17"/>
  <c r="B996" i="17"/>
  <c r="B995" i="17"/>
  <c r="B994" i="17"/>
  <c r="B993" i="17"/>
  <c r="B992" i="17"/>
  <c r="B991" i="17"/>
  <c r="B990" i="17"/>
  <c r="B989" i="17"/>
  <c r="B988" i="17"/>
  <c r="B987" i="17"/>
  <c r="B986" i="17"/>
  <c r="B985" i="17"/>
  <c r="B984" i="17"/>
  <c r="B983" i="17"/>
  <c r="B982" i="17"/>
  <c r="B981" i="17"/>
  <c r="B980" i="17"/>
  <c r="B979" i="17"/>
  <c r="B978" i="17"/>
  <c r="B977" i="17"/>
  <c r="B976" i="17"/>
  <c r="B975" i="17"/>
  <c r="B974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J27" i="17"/>
  <c r="B27" i="17"/>
  <c r="J26" i="17"/>
  <c r="B26" i="17"/>
  <c r="J25" i="17"/>
  <c r="B25" i="17"/>
  <c r="B24" i="17"/>
  <c r="B23" i="17"/>
  <c r="J22" i="17"/>
  <c r="B22" i="17"/>
  <c r="B21" i="17"/>
  <c r="J20" i="17"/>
  <c r="B20" i="17"/>
  <c r="B19" i="17"/>
  <c r="B18" i="17"/>
  <c r="B17" i="17"/>
  <c r="B16" i="17"/>
  <c r="B15" i="17"/>
  <c r="B14" i="17"/>
  <c r="J13" i="17"/>
  <c r="J15" i="17" s="1"/>
  <c r="B13" i="17"/>
  <c r="B12" i="17"/>
  <c r="B11" i="17"/>
  <c r="B10" i="17"/>
  <c r="B9" i="17"/>
  <c r="B8" i="17"/>
  <c r="B7" i="17"/>
  <c r="B6" i="17"/>
  <c r="B5" i="17"/>
  <c r="B4" i="17"/>
  <c r="B2445" i="16"/>
  <c r="B2444" i="16"/>
  <c r="B2443" i="16"/>
  <c r="B2442" i="16"/>
  <c r="B2441" i="16"/>
  <c r="B2440" i="16"/>
  <c r="B2439" i="16"/>
  <c r="B2438" i="16"/>
  <c r="B2437" i="16"/>
  <c r="B2436" i="16"/>
  <c r="B2435" i="16"/>
  <c r="B2434" i="16"/>
  <c r="B2433" i="16"/>
  <c r="B2432" i="16"/>
  <c r="B2431" i="16"/>
  <c r="B2430" i="16"/>
  <c r="B2429" i="16"/>
  <c r="B2428" i="16"/>
  <c r="B2427" i="16"/>
  <c r="B2426" i="16"/>
  <c r="B2425" i="16"/>
  <c r="B2424" i="16"/>
  <c r="B2423" i="16"/>
  <c r="B2422" i="16"/>
  <c r="B2421" i="16"/>
  <c r="B2420" i="16"/>
  <c r="B2419" i="16"/>
  <c r="B2418" i="16"/>
  <c r="B2417" i="16"/>
  <c r="B2416" i="16"/>
  <c r="B2415" i="16"/>
  <c r="B2414" i="16"/>
  <c r="B2413" i="16"/>
  <c r="B2412" i="16"/>
  <c r="B2411" i="16"/>
  <c r="B2410" i="16"/>
  <c r="B2409" i="16"/>
  <c r="B2408" i="16"/>
  <c r="B2407" i="16"/>
  <c r="B2406" i="16"/>
  <c r="B2405" i="16"/>
  <c r="B2404" i="16"/>
  <c r="B2403" i="16"/>
  <c r="B2402" i="16"/>
  <c r="B2401" i="16"/>
  <c r="B2400" i="16"/>
  <c r="B2399" i="16"/>
  <c r="B2398" i="16"/>
  <c r="B2397" i="16"/>
  <c r="B2396" i="16"/>
  <c r="B2395" i="16"/>
  <c r="B2394" i="16"/>
  <c r="B2393" i="16"/>
  <c r="B2392" i="16"/>
  <c r="B2391" i="16"/>
  <c r="B2390" i="16"/>
  <c r="B2389" i="16"/>
  <c r="B2388" i="16"/>
  <c r="B2387" i="16"/>
  <c r="B2386" i="16"/>
  <c r="B2385" i="16"/>
  <c r="B2384" i="16"/>
  <c r="B2383" i="16"/>
  <c r="B2382" i="16"/>
  <c r="B2381" i="16"/>
  <c r="B2380" i="16"/>
  <c r="B2379" i="16"/>
  <c r="B2378" i="16"/>
  <c r="B2377" i="16"/>
  <c r="B2376" i="16"/>
  <c r="B2375" i="16"/>
  <c r="B2374" i="16"/>
  <c r="B2373" i="16"/>
  <c r="B2372" i="16"/>
  <c r="B2371" i="16"/>
  <c r="B2370" i="16"/>
  <c r="B2369" i="16"/>
  <c r="B2368" i="16"/>
  <c r="B2367" i="16"/>
  <c r="B2366" i="16"/>
  <c r="B2365" i="16"/>
  <c r="B2364" i="16"/>
  <c r="B2363" i="16"/>
  <c r="B2362" i="16"/>
  <c r="B2361" i="16"/>
  <c r="B2360" i="16"/>
  <c r="B2359" i="16"/>
  <c r="B2358" i="16"/>
  <c r="B2357" i="16"/>
  <c r="B2356" i="16"/>
  <c r="B2355" i="16"/>
  <c r="B2354" i="16"/>
  <c r="B2353" i="16"/>
  <c r="B2352" i="16"/>
  <c r="B2351" i="16"/>
  <c r="B2350" i="16"/>
  <c r="B2349" i="16"/>
  <c r="B2348" i="16"/>
  <c r="B2347" i="16"/>
  <c r="B2346" i="16"/>
  <c r="B2345" i="16"/>
  <c r="B2344" i="16"/>
  <c r="B2343" i="16"/>
  <c r="B2342" i="16"/>
  <c r="B2341" i="16"/>
  <c r="B2340" i="16"/>
  <c r="B2339" i="16"/>
  <c r="B2338" i="16"/>
  <c r="B2337" i="16"/>
  <c r="B2336" i="16"/>
  <c r="B2335" i="16"/>
  <c r="B2334" i="16"/>
  <c r="B2333" i="16"/>
  <c r="B2332" i="16"/>
  <c r="B2331" i="16"/>
  <c r="B2330" i="16"/>
  <c r="B2329" i="16"/>
  <c r="B2328" i="16"/>
  <c r="B2327" i="16"/>
  <c r="B2326" i="16"/>
  <c r="B2325" i="16"/>
  <c r="B2324" i="16"/>
  <c r="B2323" i="16"/>
  <c r="B2322" i="16"/>
  <c r="B2321" i="16"/>
  <c r="B2320" i="16"/>
  <c r="B2319" i="16"/>
  <c r="B2318" i="16"/>
  <c r="B2317" i="16"/>
  <c r="B2316" i="16"/>
  <c r="B2315" i="16"/>
  <c r="B2314" i="16"/>
  <c r="B2313" i="16"/>
  <c r="B2312" i="16"/>
  <c r="B2311" i="16"/>
  <c r="B2310" i="16"/>
  <c r="B2309" i="16"/>
  <c r="B2308" i="16"/>
  <c r="B2307" i="16"/>
  <c r="B2306" i="16"/>
  <c r="B2305" i="16"/>
  <c r="B2304" i="16"/>
  <c r="B2303" i="16"/>
  <c r="B2302" i="16"/>
  <c r="B2301" i="16"/>
  <c r="B2300" i="16"/>
  <c r="B2299" i="16"/>
  <c r="B2298" i="16"/>
  <c r="B2297" i="16"/>
  <c r="B2296" i="16"/>
  <c r="B2295" i="16"/>
  <c r="B2294" i="16"/>
  <c r="B2293" i="16"/>
  <c r="B2292" i="16"/>
  <c r="B2291" i="16"/>
  <c r="B2290" i="16"/>
  <c r="B2289" i="16"/>
  <c r="B2288" i="16"/>
  <c r="B2287" i="16"/>
  <c r="B2286" i="16"/>
  <c r="B2285" i="16"/>
  <c r="B2284" i="16"/>
  <c r="B2283" i="16"/>
  <c r="B2282" i="16"/>
  <c r="B2281" i="16"/>
  <c r="B2280" i="16"/>
  <c r="B2279" i="16"/>
  <c r="B2278" i="16"/>
  <c r="B2277" i="16"/>
  <c r="B2276" i="16"/>
  <c r="B2275" i="16"/>
  <c r="B2274" i="16"/>
  <c r="B2273" i="16"/>
  <c r="B2272" i="16"/>
  <c r="B2271" i="16"/>
  <c r="B2270" i="16"/>
  <c r="B2269" i="16"/>
  <c r="B2268" i="16"/>
  <c r="B2267" i="16"/>
  <c r="B2266" i="16"/>
  <c r="B2265" i="16"/>
  <c r="B2264" i="16"/>
  <c r="B2263" i="16"/>
  <c r="B2262" i="16"/>
  <c r="B2261" i="16"/>
  <c r="B2260" i="16"/>
  <c r="B2259" i="16"/>
  <c r="B2258" i="16"/>
  <c r="B2257" i="16"/>
  <c r="B2256" i="16"/>
  <c r="B2255" i="16"/>
  <c r="B2254" i="16"/>
  <c r="B2253" i="16"/>
  <c r="B2252" i="16"/>
  <c r="B2251" i="16"/>
  <c r="B2250" i="16"/>
  <c r="B2249" i="16"/>
  <c r="B2248" i="16"/>
  <c r="B2247" i="16"/>
  <c r="B2246" i="16"/>
  <c r="B2245" i="16"/>
  <c r="B2244" i="16"/>
  <c r="B2243" i="16"/>
  <c r="B2242" i="16"/>
  <c r="B2241" i="16"/>
  <c r="B2240" i="16"/>
  <c r="B2239" i="16"/>
  <c r="B2238" i="16"/>
  <c r="B2237" i="16"/>
  <c r="B2236" i="16"/>
  <c r="B2235" i="16"/>
  <c r="B2234" i="16"/>
  <c r="B2233" i="16"/>
  <c r="B2232" i="16"/>
  <c r="B2231" i="16"/>
  <c r="B2230" i="16"/>
  <c r="B2229" i="16"/>
  <c r="B2228" i="16"/>
  <c r="B2227" i="16"/>
  <c r="B2226" i="16"/>
  <c r="B2225" i="16"/>
  <c r="B2224" i="16"/>
  <c r="B2223" i="16"/>
  <c r="B2222" i="16"/>
  <c r="B2221" i="16"/>
  <c r="B2220" i="16"/>
  <c r="B2219" i="16"/>
  <c r="B2218" i="16"/>
  <c r="B2217" i="16"/>
  <c r="B2216" i="16"/>
  <c r="B2215" i="16"/>
  <c r="B2214" i="16"/>
  <c r="B2213" i="16"/>
  <c r="B2212" i="16"/>
  <c r="B2211" i="16"/>
  <c r="B2210" i="16"/>
  <c r="B2209" i="16"/>
  <c r="B2208" i="16"/>
  <c r="B2207" i="16"/>
  <c r="B2206" i="16"/>
  <c r="B2205" i="16"/>
  <c r="B2204" i="16"/>
  <c r="B2203" i="16"/>
  <c r="B2202" i="16"/>
  <c r="B2201" i="16"/>
  <c r="B2200" i="16"/>
  <c r="B2199" i="16"/>
  <c r="B2198" i="16"/>
  <c r="B2197" i="16"/>
  <c r="B2196" i="16"/>
  <c r="B2195" i="16"/>
  <c r="B2194" i="16"/>
  <c r="B2193" i="16"/>
  <c r="B2192" i="16"/>
  <c r="B2191" i="16"/>
  <c r="B2190" i="16"/>
  <c r="B2189" i="16"/>
  <c r="B2188" i="16"/>
  <c r="B2187" i="16"/>
  <c r="B2186" i="16"/>
  <c r="B2185" i="16"/>
  <c r="B2184" i="16"/>
  <c r="B2183" i="16"/>
  <c r="B2182" i="16"/>
  <c r="B2181" i="16"/>
  <c r="B2180" i="16"/>
  <c r="B2179" i="16"/>
  <c r="B2178" i="16"/>
  <c r="B2177" i="16"/>
  <c r="B2176" i="16"/>
  <c r="B2175" i="16"/>
  <c r="B2174" i="16"/>
  <c r="B2173" i="16"/>
  <c r="B2172" i="16"/>
  <c r="B2171" i="16"/>
  <c r="B2170" i="16"/>
  <c r="B2169" i="16"/>
  <c r="B2168" i="16"/>
  <c r="B2167" i="16"/>
  <c r="B2166" i="16"/>
  <c r="B2165" i="16"/>
  <c r="B2164" i="16"/>
  <c r="B2163" i="16"/>
  <c r="B2162" i="16"/>
  <c r="B2161" i="16"/>
  <c r="B2160" i="16"/>
  <c r="B2159" i="16"/>
  <c r="B2158" i="16"/>
  <c r="B2157" i="16"/>
  <c r="B2156" i="16"/>
  <c r="B2155" i="16"/>
  <c r="B2154" i="16"/>
  <c r="B2153" i="16"/>
  <c r="B2152" i="16"/>
  <c r="B2151" i="16"/>
  <c r="B2150" i="16"/>
  <c r="B2149" i="16"/>
  <c r="B2148" i="16"/>
  <c r="B2147" i="16"/>
  <c r="B2146" i="16"/>
  <c r="B2145" i="16"/>
  <c r="B2144" i="16"/>
  <c r="B2143" i="16"/>
  <c r="B2142" i="16"/>
  <c r="B2141" i="16"/>
  <c r="B2140" i="16"/>
  <c r="B2139" i="16"/>
  <c r="B2138" i="16"/>
  <c r="B2137" i="16"/>
  <c r="B2136" i="16"/>
  <c r="B2135" i="16"/>
  <c r="B2134" i="16"/>
  <c r="B2133" i="16"/>
  <c r="B2132" i="16"/>
  <c r="B2131" i="16"/>
  <c r="B2130" i="16"/>
  <c r="B2129" i="16"/>
  <c r="B2128" i="16"/>
  <c r="B2127" i="16"/>
  <c r="B2126" i="16"/>
  <c r="B2125" i="16"/>
  <c r="B2124" i="16"/>
  <c r="B2123" i="16"/>
  <c r="B2122" i="16"/>
  <c r="B2121" i="16"/>
  <c r="B2120" i="16"/>
  <c r="B2119" i="16"/>
  <c r="B2118" i="16"/>
  <c r="B2117" i="16"/>
  <c r="B2116" i="16"/>
  <c r="B2115" i="16"/>
  <c r="B2114" i="16"/>
  <c r="B2113" i="16"/>
  <c r="B2112" i="16"/>
  <c r="B2111" i="16"/>
  <c r="B2110" i="16"/>
  <c r="B2109" i="16"/>
  <c r="B2108" i="16"/>
  <c r="B2107" i="16"/>
  <c r="B2106" i="16"/>
  <c r="B2105" i="16"/>
  <c r="B2104" i="16"/>
  <c r="B2103" i="16"/>
  <c r="B2102" i="16"/>
  <c r="B2101" i="16"/>
  <c r="B2100" i="16"/>
  <c r="B2099" i="16"/>
  <c r="B2098" i="16"/>
  <c r="B2097" i="16"/>
  <c r="B2096" i="16"/>
  <c r="B2095" i="16"/>
  <c r="B2094" i="16"/>
  <c r="B2093" i="16"/>
  <c r="B2092" i="16"/>
  <c r="B2091" i="16"/>
  <c r="B2090" i="16"/>
  <c r="B2089" i="16"/>
  <c r="B2088" i="16"/>
  <c r="B2087" i="16"/>
  <c r="B2086" i="16"/>
  <c r="B2085" i="16"/>
  <c r="B2084" i="16"/>
  <c r="B2083" i="16"/>
  <c r="B2082" i="16"/>
  <c r="B2081" i="16"/>
  <c r="B2080" i="16"/>
  <c r="B2079" i="16"/>
  <c r="B2078" i="16"/>
  <c r="B2077" i="16"/>
  <c r="B2076" i="16"/>
  <c r="B2075" i="16"/>
  <c r="B2074" i="16"/>
  <c r="B2073" i="16"/>
  <c r="B2072" i="16"/>
  <c r="B2071" i="16"/>
  <c r="B2070" i="16"/>
  <c r="B2069" i="16"/>
  <c r="B2068" i="16"/>
  <c r="B2067" i="16"/>
  <c r="B2066" i="16"/>
  <c r="B2065" i="16"/>
  <c r="B2064" i="16"/>
  <c r="B2063" i="16"/>
  <c r="B2062" i="16"/>
  <c r="B2061" i="16"/>
  <c r="B2060" i="16"/>
  <c r="B2059" i="16"/>
  <c r="B2058" i="16"/>
  <c r="B2057" i="16"/>
  <c r="B2056" i="16"/>
  <c r="B2055" i="16"/>
  <c r="B2054" i="16"/>
  <c r="B2053" i="16"/>
  <c r="B2052" i="16"/>
  <c r="B2051" i="16"/>
  <c r="B2050" i="16"/>
  <c r="B2049" i="16"/>
  <c r="B2048" i="16"/>
  <c r="B2047" i="16"/>
  <c r="B2046" i="16"/>
  <c r="B2045" i="16"/>
  <c r="B2044" i="16"/>
  <c r="B2043" i="16"/>
  <c r="B2042" i="16"/>
  <c r="B2041" i="16"/>
  <c r="B2040" i="16"/>
  <c r="B2039" i="16"/>
  <c r="B2038" i="16"/>
  <c r="B2037" i="16"/>
  <c r="B2036" i="16"/>
  <c r="B2035" i="16"/>
  <c r="B2034" i="16"/>
  <c r="B2033" i="16"/>
  <c r="B2032" i="16"/>
  <c r="B2031" i="16"/>
  <c r="B2030" i="16"/>
  <c r="B2029" i="16"/>
  <c r="B2028" i="16"/>
  <c r="B2027" i="16"/>
  <c r="B2026" i="16"/>
  <c r="B2025" i="16"/>
  <c r="B2024" i="16"/>
  <c r="B2023" i="16"/>
  <c r="B2022" i="16"/>
  <c r="B2021" i="16"/>
  <c r="B2020" i="16"/>
  <c r="B2019" i="16"/>
  <c r="B2018" i="16"/>
  <c r="B2017" i="16"/>
  <c r="B2016" i="16"/>
  <c r="B2015" i="16"/>
  <c r="B2014" i="16"/>
  <c r="B2013" i="16"/>
  <c r="B2012" i="16"/>
  <c r="B2011" i="16"/>
  <c r="B2010" i="16"/>
  <c r="B2009" i="16"/>
  <c r="B2008" i="16"/>
  <c r="B2007" i="16"/>
  <c r="B2006" i="16"/>
  <c r="B2005" i="16"/>
  <c r="B2004" i="16"/>
  <c r="B2003" i="16"/>
  <c r="B2002" i="16"/>
  <c r="B2001" i="16"/>
  <c r="B2000" i="16"/>
  <c r="B1999" i="16"/>
  <c r="B1998" i="16"/>
  <c r="B1997" i="16"/>
  <c r="B1996" i="16"/>
  <c r="B1995" i="16"/>
  <c r="B1994" i="16"/>
  <c r="B1993" i="16"/>
  <c r="B1992" i="16"/>
  <c r="B1991" i="16"/>
  <c r="B1990" i="16"/>
  <c r="B1989" i="16"/>
  <c r="B1988" i="16"/>
  <c r="B1987" i="16"/>
  <c r="B1986" i="16"/>
  <c r="B1985" i="16"/>
  <c r="B1984" i="16"/>
  <c r="B1983" i="16"/>
  <c r="B1982" i="16"/>
  <c r="B1981" i="16"/>
  <c r="B1980" i="16"/>
  <c r="B1979" i="16"/>
  <c r="B1978" i="16"/>
  <c r="B1977" i="16"/>
  <c r="B1976" i="16"/>
  <c r="B1975" i="16"/>
  <c r="B1974" i="16"/>
  <c r="B1973" i="16"/>
  <c r="B1972" i="16"/>
  <c r="B1971" i="16"/>
  <c r="B1970" i="16"/>
  <c r="B1969" i="16"/>
  <c r="B1968" i="16"/>
  <c r="B1967" i="16"/>
  <c r="B1966" i="16"/>
  <c r="B1965" i="16"/>
  <c r="B1964" i="16"/>
  <c r="B1963" i="16"/>
  <c r="B1962" i="16"/>
  <c r="B1961" i="16"/>
  <c r="B1960" i="16"/>
  <c r="B1959" i="16"/>
  <c r="B1958" i="16"/>
  <c r="B1957" i="16"/>
  <c r="B1956" i="16"/>
  <c r="B1955" i="16"/>
  <c r="B1954" i="16"/>
  <c r="B1953" i="16"/>
  <c r="B1952" i="16"/>
  <c r="B1951" i="16"/>
  <c r="B1950" i="16"/>
  <c r="B1949" i="16"/>
  <c r="B1948" i="16"/>
  <c r="B1947" i="16"/>
  <c r="B1946" i="16"/>
  <c r="B1945" i="16"/>
  <c r="B1944" i="16"/>
  <c r="B1943" i="16"/>
  <c r="B1942" i="16"/>
  <c r="B1941" i="16"/>
  <c r="B1940" i="16"/>
  <c r="B1939" i="16"/>
  <c r="B1938" i="16"/>
  <c r="B1937" i="16"/>
  <c r="B1936" i="16"/>
  <c r="B1935" i="16"/>
  <c r="B1934" i="16"/>
  <c r="B1933" i="16"/>
  <c r="B1932" i="16"/>
  <c r="B1931" i="16"/>
  <c r="B1930" i="16"/>
  <c r="B1929" i="16"/>
  <c r="B1928" i="16"/>
  <c r="B1927" i="16"/>
  <c r="B1926" i="16"/>
  <c r="B1925" i="16"/>
  <c r="B1924" i="16"/>
  <c r="B1923" i="16"/>
  <c r="B1922" i="16"/>
  <c r="B1921" i="16"/>
  <c r="B1920" i="16"/>
  <c r="B1919" i="16"/>
  <c r="B1918" i="16"/>
  <c r="B1917" i="16"/>
  <c r="B1916" i="16"/>
  <c r="B1915" i="16"/>
  <c r="B1914" i="16"/>
  <c r="B1913" i="16"/>
  <c r="B1912" i="16"/>
  <c r="B1911" i="16"/>
  <c r="B1910" i="16"/>
  <c r="B1909" i="16"/>
  <c r="B1908" i="16"/>
  <c r="B1907" i="16"/>
  <c r="B1906" i="16"/>
  <c r="B1905" i="16"/>
  <c r="B1904" i="16"/>
  <c r="B1903" i="16"/>
  <c r="B1902" i="16"/>
  <c r="B1901" i="16"/>
  <c r="B1900" i="16"/>
  <c r="B1899" i="16"/>
  <c r="B1898" i="16"/>
  <c r="B1897" i="16"/>
  <c r="B1896" i="16"/>
  <c r="B1895" i="16"/>
  <c r="B1894" i="16"/>
  <c r="B1893" i="16"/>
  <c r="B1892" i="16"/>
  <c r="B1891" i="16"/>
  <c r="B1890" i="16"/>
  <c r="B1889" i="16"/>
  <c r="B1888" i="16"/>
  <c r="B1887" i="16"/>
  <c r="B1886" i="16"/>
  <c r="B1885" i="16"/>
  <c r="B1884" i="16"/>
  <c r="B1883" i="16"/>
  <c r="B1882" i="16"/>
  <c r="B1881" i="16"/>
  <c r="B1880" i="16"/>
  <c r="B1879" i="16"/>
  <c r="B1878" i="16"/>
  <c r="B1877" i="16"/>
  <c r="B1876" i="16"/>
  <c r="B1875" i="16"/>
  <c r="B1874" i="16"/>
  <c r="B1873" i="16"/>
  <c r="B1872" i="16"/>
  <c r="B1871" i="16"/>
  <c r="B1870" i="16"/>
  <c r="B1869" i="16"/>
  <c r="B1868" i="16"/>
  <c r="B1867" i="16"/>
  <c r="B1866" i="16"/>
  <c r="B1865" i="16"/>
  <c r="B1864" i="16"/>
  <c r="B1863" i="16"/>
  <c r="B1862" i="16"/>
  <c r="B1861" i="16"/>
  <c r="B1860" i="16"/>
  <c r="B1859" i="16"/>
  <c r="B1858" i="16"/>
  <c r="B1857" i="16"/>
  <c r="B1856" i="16"/>
  <c r="B1855" i="16"/>
  <c r="B1854" i="16"/>
  <c r="B1853" i="16"/>
  <c r="B1852" i="16"/>
  <c r="B1851" i="16"/>
  <c r="B1850" i="16"/>
  <c r="B1849" i="16"/>
  <c r="B1848" i="16"/>
  <c r="B1847" i="16"/>
  <c r="B1846" i="16"/>
  <c r="B1845" i="16"/>
  <c r="B1844" i="16"/>
  <c r="B1843" i="16"/>
  <c r="B1842" i="16"/>
  <c r="B1841" i="16"/>
  <c r="B1840" i="16"/>
  <c r="B1839" i="16"/>
  <c r="B1838" i="16"/>
  <c r="B1837" i="16"/>
  <c r="B1836" i="16"/>
  <c r="B1835" i="16"/>
  <c r="B1834" i="16"/>
  <c r="B1833" i="16"/>
  <c r="B1832" i="16"/>
  <c r="B1831" i="16"/>
  <c r="B1830" i="16"/>
  <c r="B1829" i="16"/>
  <c r="B1828" i="16"/>
  <c r="B1827" i="16"/>
  <c r="B1826" i="16"/>
  <c r="B1825" i="16"/>
  <c r="B1824" i="16"/>
  <c r="B1823" i="16"/>
  <c r="B1822" i="16"/>
  <c r="B1821" i="16"/>
  <c r="B1820" i="16"/>
  <c r="B1819" i="16"/>
  <c r="B1818" i="16"/>
  <c r="B1817" i="16"/>
  <c r="B1816" i="16"/>
  <c r="B1815" i="16"/>
  <c r="B1814" i="16"/>
  <c r="B1813" i="16"/>
  <c r="B1812" i="16"/>
  <c r="B1811" i="16"/>
  <c r="B1810" i="16"/>
  <c r="B1809" i="16"/>
  <c r="B1808" i="16"/>
  <c r="B1807" i="16"/>
  <c r="B1806" i="16"/>
  <c r="B1805" i="16"/>
  <c r="B1804" i="16"/>
  <c r="B1803" i="16"/>
  <c r="B1802" i="16"/>
  <c r="B1801" i="16"/>
  <c r="B1800" i="16"/>
  <c r="B1799" i="16"/>
  <c r="B1798" i="16"/>
  <c r="B1797" i="16"/>
  <c r="B1796" i="16"/>
  <c r="B1795" i="16"/>
  <c r="B1794" i="16"/>
  <c r="B1793" i="16"/>
  <c r="B1792" i="16"/>
  <c r="B1791" i="16"/>
  <c r="B1790" i="16"/>
  <c r="B1789" i="16"/>
  <c r="B1788" i="16"/>
  <c r="B1787" i="16"/>
  <c r="B1786" i="16"/>
  <c r="B1785" i="16"/>
  <c r="B1784" i="16"/>
  <c r="B1783" i="16"/>
  <c r="B1782" i="16"/>
  <c r="B1781" i="16"/>
  <c r="B1780" i="16"/>
  <c r="B1779" i="16"/>
  <c r="B1778" i="16"/>
  <c r="B1777" i="16"/>
  <c r="B1776" i="16"/>
  <c r="B1775" i="16"/>
  <c r="B1774" i="16"/>
  <c r="B1773" i="16"/>
  <c r="B1772" i="16"/>
  <c r="B1771" i="16"/>
  <c r="B1770" i="16"/>
  <c r="B1769" i="16"/>
  <c r="B1768" i="16"/>
  <c r="B1767" i="16"/>
  <c r="B1766" i="16"/>
  <c r="B1765" i="16"/>
  <c r="B1764" i="16"/>
  <c r="B1763" i="16"/>
  <c r="B1762" i="16"/>
  <c r="B1761" i="16"/>
  <c r="B1760" i="16"/>
  <c r="B1759" i="16"/>
  <c r="B1758" i="16"/>
  <c r="B1757" i="16"/>
  <c r="B1756" i="16"/>
  <c r="B1755" i="16"/>
  <c r="B1754" i="16"/>
  <c r="B1753" i="16"/>
  <c r="B1752" i="16"/>
  <c r="B1751" i="16"/>
  <c r="B1750" i="16"/>
  <c r="B1749" i="16"/>
  <c r="B1748" i="16"/>
  <c r="B1747" i="16"/>
  <c r="B1746" i="16"/>
  <c r="B1745" i="16"/>
  <c r="B1744" i="16"/>
  <c r="B1743" i="16"/>
  <c r="B1742" i="16"/>
  <c r="B1741" i="16"/>
  <c r="B1740" i="16"/>
  <c r="B1739" i="16"/>
  <c r="B1738" i="16"/>
  <c r="B1737" i="16"/>
  <c r="B1736" i="16"/>
  <c r="B1735" i="16"/>
  <c r="B1734" i="16"/>
  <c r="B1733" i="16"/>
  <c r="B1732" i="16"/>
  <c r="B1731" i="16"/>
  <c r="B1730" i="16"/>
  <c r="B1729" i="16"/>
  <c r="B1728" i="16"/>
  <c r="B1727" i="16"/>
  <c r="B1726" i="16"/>
  <c r="B1725" i="16"/>
  <c r="B1724" i="16"/>
  <c r="B1723" i="16"/>
  <c r="B1722" i="16"/>
  <c r="B1721" i="16"/>
  <c r="B1720" i="16"/>
  <c r="B1719" i="16"/>
  <c r="B1718" i="16"/>
  <c r="B1717" i="16"/>
  <c r="B1716" i="16"/>
  <c r="B1715" i="16"/>
  <c r="B1714" i="16"/>
  <c r="B1713" i="16"/>
  <c r="B1712" i="16"/>
  <c r="B1711" i="16"/>
  <c r="B1710" i="16"/>
  <c r="B1709" i="16"/>
  <c r="B1708" i="16"/>
  <c r="B1707" i="16"/>
  <c r="B1706" i="16"/>
  <c r="B1705" i="16"/>
  <c r="B1704" i="16"/>
  <c r="B1703" i="16"/>
  <c r="B1702" i="16"/>
  <c r="B1701" i="16"/>
  <c r="B1700" i="16"/>
  <c r="B1699" i="16"/>
  <c r="B1698" i="16"/>
  <c r="B1697" i="16"/>
  <c r="B1696" i="16"/>
  <c r="B1695" i="16"/>
  <c r="B1694" i="16"/>
  <c r="B1693" i="16"/>
  <c r="B1692" i="16"/>
  <c r="B1691" i="16"/>
  <c r="B1690" i="16"/>
  <c r="B1689" i="16"/>
  <c r="B1688" i="16"/>
  <c r="B1687" i="16"/>
  <c r="B1686" i="16"/>
  <c r="B1685" i="16"/>
  <c r="B1684" i="16"/>
  <c r="B1683" i="16"/>
  <c r="B1682" i="16"/>
  <c r="B1681" i="16"/>
  <c r="B1680" i="16"/>
  <c r="B1679" i="16"/>
  <c r="B1678" i="16"/>
  <c r="B1677" i="16"/>
  <c r="B1676" i="16"/>
  <c r="B1675" i="16"/>
  <c r="B1674" i="16"/>
  <c r="B1673" i="16"/>
  <c r="B1672" i="16"/>
  <c r="B1671" i="16"/>
  <c r="B1670" i="16"/>
  <c r="B1669" i="16"/>
  <c r="B1668" i="16"/>
  <c r="B1667" i="16"/>
  <c r="B1666" i="16"/>
  <c r="B1665" i="16"/>
  <c r="B1664" i="16"/>
  <c r="B1663" i="16"/>
  <c r="B1662" i="16"/>
  <c r="B1661" i="16"/>
  <c r="B1660" i="16"/>
  <c r="B1659" i="16"/>
  <c r="B1658" i="16"/>
  <c r="B1657" i="16"/>
  <c r="B1656" i="16"/>
  <c r="B1655" i="16"/>
  <c r="B1654" i="16"/>
  <c r="B1653" i="16"/>
  <c r="B1652" i="16"/>
  <c r="B1651" i="16"/>
  <c r="B1650" i="16"/>
  <c r="B1649" i="16"/>
  <c r="B1648" i="16"/>
  <c r="B1647" i="16"/>
  <c r="B1646" i="16"/>
  <c r="B1645" i="16"/>
  <c r="B1644" i="16"/>
  <c r="B1643" i="16"/>
  <c r="B1642" i="16"/>
  <c r="B1641" i="16"/>
  <c r="B1640" i="16"/>
  <c r="B1639" i="16"/>
  <c r="B1638" i="16"/>
  <c r="B1637" i="16"/>
  <c r="B1636" i="16"/>
  <c r="B1635" i="16"/>
  <c r="B1634" i="16"/>
  <c r="B1633" i="16"/>
  <c r="B1632" i="16"/>
  <c r="B1631" i="16"/>
  <c r="B1630" i="16"/>
  <c r="B1629" i="16"/>
  <c r="B1628" i="16"/>
  <c r="B1627" i="16"/>
  <c r="B1626" i="16"/>
  <c r="B1625" i="16"/>
  <c r="B1624" i="16"/>
  <c r="B1623" i="16"/>
  <c r="B1622" i="16"/>
  <c r="B1621" i="16"/>
  <c r="B1620" i="16"/>
  <c r="B1619" i="16"/>
  <c r="B1618" i="16"/>
  <c r="B1617" i="16"/>
  <c r="B1616" i="16"/>
  <c r="B1615" i="16"/>
  <c r="B1614" i="16"/>
  <c r="B1613" i="16"/>
  <c r="B1612" i="16"/>
  <c r="B1611" i="16"/>
  <c r="B1610" i="16"/>
  <c r="B1609" i="16"/>
  <c r="B1608" i="16"/>
  <c r="B1607" i="16"/>
  <c r="B1606" i="16"/>
  <c r="B1605" i="16"/>
  <c r="B1604" i="16"/>
  <c r="B1603" i="16"/>
  <c r="B1602" i="16"/>
  <c r="B1601" i="16"/>
  <c r="B1600" i="16"/>
  <c r="B1599" i="16"/>
  <c r="B1598" i="16"/>
  <c r="B1597" i="16"/>
  <c r="B1596" i="16"/>
  <c r="B1595" i="16"/>
  <c r="B1594" i="16"/>
  <c r="B1593" i="16"/>
  <c r="B1592" i="16"/>
  <c r="B1591" i="16"/>
  <c r="B1590" i="16"/>
  <c r="B1589" i="16"/>
  <c r="B1588" i="16"/>
  <c r="B1587" i="16"/>
  <c r="B1586" i="16"/>
  <c r="B1585" i="16"/>
  <c r="B1584" i="16"/>
  <c r="B1583" i="16"/>
  <c r="B1582" i="16"/>
  <c r="B1581" i="16"/>
  <c r="B1580" i="16"/>
  <c r="B1579" i="16"/>
  <c r="B1578" i="16"/>
  <c r="B1577" i="16"/>
  <c r="B1576" i="16"/>
  <c r="B1575" i="16"/>
  <c r="B1574" i="16"/>
  <c r="B1573" i="16"/>
  <c r="B1572" i="16"/>
  <c r="B1571" i="16"/>
  <c r="B1570" i="16"/>
  <c r="B1569" i="16"/>
  <c r="B1568" i="16"/>
  <c r="B1567" i="16"/>
  <c r="B1566" i="16"/>
  <c r="B1565" i="16"/>
  <c r="B1564" i="16"/>
  <c r="B1563" i="16"/>
  <c r="B1562" i="16"/>
  <c r="B1561" i="16"/>
  <c r="B1560" i="16"/>
  <c r="B1559" i="16"/>
  <c r="B1558" i="16"/>
  <c r="B1557" i="16"/>
  <c r="B1556" i="16"/>
  <c r="B1555" i="16"/>
  <c r="B1554" i="16"/>
  <c r="B1553" i="16"/>
  <c r="B1552" i="16"/>
  <c r="B1551" i="16"/>
  <c r="B1550" i="16"/>
  <c r="B1549" i="16"/>
  <c r="B1548" i="16"/>
  <c r="B1547" i="16"/>
  <c r="B1546" i="16"/>
  <c r="B1545" i="16"/>
  <c r="B1544" i="16"/>
  <c r="B1543" i="16"/>
  <c r="B1542" i="16"/>
  <c r="B1541" i="16"/>
  <c r="B1540" i="16"/>
  <c r="B1539" i="16"/>
  <c r="B1538" i="16"/>
  <c r="B1537" i="16"/>
  <c r="B1536" i="16"/>
  <c r="B1535" i="16"/>
  <c r="B1534" i="16"/>
  <c r="B1533" i="16"/>
  <c r="B1532" i="16"/>
  <c r="B1531" i="16"/>
  <c r="B1530" i="16"/>
  <c r="B1529" i="16"/>
  <c r="B1528" i="16"/>
  <c r="B1527" i="16"/>
  <c r="B1526" i="16"/>
  <c r="B1525" i="16"/>
  <c r="B1524" i="16"/>
  <c r="B1523" i="16"/>
  <c r="B1522" i="16"/>
  <c r="B1521" i="16"/>
  <c r="B1520" i="16"/>
  <c r="B1519" i="16"/>
  <c r="B1518" i="16"/>
  <c r="B1517" i="16"/>
  <c r="B1516" i="16"/>
  <c r="B1515" i="16"/>
  <c r="B1514" i="16"/>
  <c r="B1513" i="16"/>
  <c r="B1512" i="16"/>
  <c r="B1511" i="16"/>
  <c r="B1510" i="16"/>
  <c r="B1509" i="16"/>
  <c r="B1508" i="16"/>
  <c r="B1507" i="16"/>
  <c r="B1506" i="16"/>
  <c r="B1505" i="16"/>
  <c r="B1504" i="16"/>
  <c r="B1503" i="16"/>
  <c r="B1502" i="16"/>
  <c r="B1501" i="16"/>
  <c r="B1500" i="16"/>
  <c r="B1499" i="16"/>
  <c r="B1498" i="16"/>
  <c r="B1497" i="16"/>
  <c r="B1496" i="16"/>
  <c r="B1495" i="16"/>
  <c r="B1494" i="16"/>
  <c r="B1493" i="16"/>
  <c r="B1492" i="16"/>
  <c r="B1491" i="16"/>
  <c r="B1490" i="16"/>
  <c r="B1489" i="16"/>
  <c r="B1488" i="16"/>
  <c r="B1487" i="16"/>
  <c r="B1486" i="16"/>
  <c r="B1485" i="16"/>
  <c r="B1484" i="16"/>
  <c r="B1483" i="16"/>
  <c r="B1482" i="16"/>
  <c r="B1481" i="16"/>
  <c r="B1480" i="16"/>
  <c r="B1479" i="16"/>
  <c r="B1478" i="16"/>
  <c r="B1477" i="16"/>
  <c r="B1476" i="16"/>
  <c r="B1475" i="16"/>
  <c r="B1474" i="16"/>
  <c r="B1473" i="16"/>
  <c r="B1472" i="16"/>
  <c r="B1471" i="16"/>
  <c r="B1470" i="16"/>
  <c r="B1469" i="16"/>
  <c r="B1468" i="16"/>
  <c r="B1467" i="16"/>
  <c r="B1466" i="16"/>
  <c r="B1465" i="16"/>
  <c r="B1464" i="16"/>
  <c r="B1463" i="16"/>
  <c r="B1462" i="16"/>
  <c r="B1461" i="16"/>
  <c r="B1460" i="16"/>
  <c r="B1459" i="16"/>
  <c r="B1458" i="16"/>
  <c r="B1457" i="16"/>
  <c r="B1456" i="16"/>
  <c r="B1455" i="16"/>
  <c r="B1454" i="16"/>
  <c r="B1453" i="16"/>
  <c r="B1452" i="16"/>
  <c r="B1451" i="16"/>
  <c r="B1450" i="16"/>
  <c r="B1449" i="16"/>
  <c r="B1448" i="16"/>
  <c r="B1447" i="16"/>
  <c r="B1446" i="16"/>
  <c r="B1445" i="16"/>
  <c r="B1444" i="16"/>
  <c r="B1443" i="16"/>
  <c r="B1442" i="16"/>
  <c r="B1441" i="16"/>
  <c r="B1440" i="16"/>
  <c r="B1439" i="16"/>
  <c r="B1438" i="16"/>
  <c r="B1437" i="16"/>
  <c r="B1436" i="16"/>
  <c r="B1435" i="16"/>
  <c r="B1434" i="16"/>
  <c r="B1433" i="16"/>
  <c r="B1432" i="16"/>
  <c r="B1431" i="16"/>
  <c r="B1430" i="16"/>
  <c r="B1429" i="16"/>
  <c r="B1428" i="16"/>
  <c r="B1427" i="16"/>
  <c r="B1426" i="16"/>
  <c r="B1425" i="16"/>
  <c r="B1424" i="16"/>
  <c r="B1423" i="16"/>
  <c r="B1422" i="16"/>
  <c r="B1421" i="16"/>
  <c r="B1420" i="16"/>
  <c r="B1419" i="16"/>
  <c r="B1418" i="16"/>
  <c r="B1417" i="16"/>
  <c r="B1416" i="16"/>
  <c r="B1415" i="16"/>
  <c r="B1414" i="16"/>
  <c r="B1413" i="16"/>
  <c r="B1412" i="16"/>
  <c r="B1411" i="16"/>
  <c r="B1410" i="16"/>
  <c r="B1409" i="16"/>
  <c r="B1408" i="16"/>
  <c r="B1407" i="16"/>
  <c r="B1406" i="16"/>
  <c r="B1405" i="16"/>
  <c r="B1404" i="16"/>
  <c r="B1403" i="16"/>
  <c r="B1402" i="16"/>
  <c r="B1401" i="16"/>
  <c r="B1400" i="16"/>
  <c r="B1399" i="16"/>
  <c r="B1398" i="16"/>
  <c r="B1397" i="16"/>
  <c r="B1396" i="16"/>
  <c r="B1395" i="16"/>
  <c r="B1394" i="16"/>
  <c r="B1393" i="16"/>
  <c r="B1392" i="16"/>
  <c r="B1391" i="16"/>
  <c r="B1390" i="16"/>
  <c r="B1389" i="16"/>
  <c r="B1388" i="16"/>
  <c r="B1387" i="16"/>
  <c r="B1386" i="16"/>
  <c r="B1385" i="16"/>
  <c r="B1384" i="16"/>
  <c r="B1383" i="16"/>
  <c r="B1382" i="16"/>
  <c r="B1381" i="16"/>
  <c r="B1380" i="16"/>
  <c r="B1379" i="16"/>
  <c r="B1378" i="16"/>
  <c r="B1377" i="16"/>
  <c r="B1376" i="16"/>
  <c r="B1375" i="16"/>
  <c r="B1374" i="16"/>
  <c r="B1373" i="16"/>
  <c r="B1372" i="16"/>
  <c r="B1371" i="16"/>
  <c r="B1370" i="16"/>
  <c r="B1369" i="16"/>
  <c r="B1368" i="16"/>
  <c r="B1367" i="16"/>
  <c r="B1366" i="16"/>
  <c r="B1365" i="16"/>
  <c r="B1364" i="16"/>
  <c r="B1363" i="16"/>
  <c r="B1362" i="16"/>
  <c r="B1361" i="16"/>
  <c r="B1360" i="16"/>
  <c r="B1359" i="16"/>
  <c r="B1358" i="16"/>
  <c r="B1357" i="16"/>
  <c r="B1356" i="16"/>
  <c r="B1355" i="16"/>
  <c r="B1354" i="16"/>
  <c r="B1353" i="16"/>
  <c r="B1352" i="16"/>
  <c r="B1351" i="16"/>
  <c r="B1350" i="16"/>
  <c r="B1349" i="16"/>
  <c r="B1348" i="16"/>
  <c r="B1347" i="16"/>
  <c r="B1346" i="16"/>
  <c r="B1345" i="16"/>
  <c r="B1344" i="16"/>
  <c r="B1343" i="16"/>
  <c r="B1342" i="16"/>
  <c r="B1341" i="16"/>
  <c r="B1340" i="16"/>
  <c r="B1339" i="16"/>
  <c r="B1338" i="16"/>
  <c r="B1337" i="16"/>
  <c r="B1336" i="16"/>
  <c r="B1335" i="16"/>
  <c r="B1334" i="16"/>
  <c r="B1333" i="16"/>
  <c r="B1332" i="16"/>
  <c r="B1331" i="16"/>
  <c r="B1330" i="16"/>
  <c r="B1329" i="16"/>
  <c r="B1328" i="16"/>
  <c r="B1327" i="16"/>
  <c r="B1326" i="16"/>
  <c r="B1325" i="16"/>
  <c r="B1324" i="16"/>
  <c r="B1323" i="16"/>
  <c r="B1322" i="16"/>
  <c r="B1321" i="16"/>
  <c r="B1320" i="16"/>
  <c r="B1319" i="16"/>
  <c r="B1318" i="16"/>
  <c r="B1317" i="16"/>
  <c r="B1316" i="16"/>
  <c r="B1315" i="16"/>
  <c r="B1314" i="16"/>
  <c r="B1313" i="16"/>
  <c r="B1312" i="16"/>
  <c r="B1311" i="16"/>
  <c r="B1310" i="16"/>
  <c r="B1309" i="16"/>
  <c r="B1308" i="16"/>
  <c r="B1307" i="16"/>
  <c r="B1306" i="16"/>
  <c r="B1305" i="16"/>
  <c r="B1304" i="16"/>
  <c r="B1303" i="16"/>
  <c r="B1302" i="16"/>
  <c r="B1301" i="16"/>
  <c r="B1300" i="16"/>
  <c r="B1299" i="16"/>
  <c r="B1298" i="16"/>
  <c r="B1297" i="16"/>
  <c r="B1296" i="16"/>
  <c r="B1295" i="16"/>
  <c r="B1294" i="16"/>
  <c r="B1293" i="16"/>
  <c r="B1292" i="16"/>
  <c r="B1291" i="16"/>
  <c r="B1290" i="16"/>
  <c r="B1289" i="16"/>
  <c r="B1288" i="16"/>
  <c r="B1287" i="16"/>
  <c r="B1286" i="16"/>
  <c r="B1285" i="16"/>
  <c r="B1284" i="16"/>
  <c r="B1283" i="16"/>
  <c r="B1282" i="16"/>
  <c r="B1281" i="16"/>
  <c r="B1280" i="16"/>
  <c r="B1279" i="16"/>
  <c r="B1278" i="16"/>
  <c r="B1277" i="16"/>
  <c r="B1276" i="16"/>
  <c r="B1275" i="16"/>
  <c r="B1274" i="16"/>
  <c r="B1273" i="16"/>
  <c r="B1272" i="16"/>
  <c r="B1271" i="16"/>
  <c r="B1270" i="16"/>
  <c r="B1269" i="16"/>
  <c r="B1268" i="16"/>
  <c r="B1267" i="16"/>
  <c r="B1266" i="16"/>
  <c r="B1265" i="16"/>
  <c r="B1264" i="16"/>
  <c r="B1263" i="16"/>
  <c r="B1262" i="16"/>
  <c r="B1261" i="16"/>
  <c r="B1260" i="16"/>
  <c r="B1259" i="16"/>
  <c r="B1258" i="16"/>
  <c r="B1257" i="16"/>
  <c r="B1256" i="16"/>
  <c r="B1255" i="16"/>
  <c r="B1254" i="16"/>
  <c r="B1253" i="16"/>
  <c r="B1252" i="16"/>
  <c r="B1251" i="16"/>
  <c r="B1250" i="16"/>
  <c r="B1249" i="16"/>
  <c r="B1248" i="16"/>
  <c r="B1247" i="16"/>
  <c r="B1246" i="16"/>
  <c r="B1245" i="16"/>
  <c r="B1244" i="16"/>
  <c r="B1243" i="16"/>
  <c r="B1242" i="16"/>
  <c r="B1241" i="16"/>
  <c r="B1240" i="16"/>
  <c r="B1239" i="16"/>
  <c r="B1238" i="16"/>
  <c r="B1237" i="16"/>
  <c r="B1236" i="16"/>
  <c r="B1235" i="16"/>
  <c r="B1234" i="16"/>
  <c r="B1233" i="16"/>
  <c r="B1232" i="16"/>
  <c r="B1231" i="16"/>
  <c r="B1230" i="16"/>
  <c r="B1229" i="16"/>
  <c r="B1228" i="16"/>
  <c r="B1227" i="16"/>
  <c r="B1226" i="16"/>
  <c r="B1225" i="16"/>
  <c r="B1224" i="16"/>
  <c r="B1223" i="16"/>
  <c r="B1222" i="16"/>
  <c r="B1221" i="16"/>
  <c r="B1220" i="16"/>
  <c r="B1219" i="16"/>
  <c r="B1218" i="16"/>
  <c r="B1217" i="16"/>
  <c r="B1216" i="16"/>
  <c r="B1215" i="16"/>
  <c r="B1214" i="16"/>
  <c r="B1213" i="16"/>
  <c r="B1212" i="16"/>
  <c r="B1211" i="16"/>
  <c r="B1210" i="16"/>
  <c r="B1209" i="16"/>
  <c r="B1208" i="16"/>
  <c r="B1207" i="16"/>
  <c r="B1206" i="16"/>
  <c r="B1205" i="16"/>
  <c r="B1204" i="16"/>
  <c r="B1203" i="16"/>
  <c r="B1202" i="16"/>
  <c r="B1201" i="16"/>
  <c r="B1200" i="16"/>
  <c r="B1199" i="16"/>
  <c r="B1198" i="16"/>
  <c r="B1197" i="16"/>
  <c r="B1196" i="16"/>
  <c r="B1195" i="16"/>
  <c r="B1194" i="16"/>
  <c r="B1193" i="16"/>
  <c r="B1192" i="16"/>
  <c r="B1191" i="16"/>
  <c r="B1190" i="16"/>
  <c r="B1189" i="16"/>
  <c r="B1188" i="16"/>
  <c r="B1187" i="16"/>
  <c r="B1186" i="16"/>
  <c r="B1185" i="16"/>
  <c r="B1184" i="16"/>
  <c r="B1183" i="16"/>
  <c r="B1182" i="16"/>
  <c r="B1181" i="16"/>
  <c r="B1180" i="16"/>
  <c r="B1179" i="16"/>
  <c r="B1178" i="16"/>
  <c r="B1177" i="16"/>
  <c r="B1176" i="16"/>
  <c r="B1175" i="16"/>
  <c r="B1174" i="16"/>
  <c r="B1173" i="16"/>
  <c r="B1172" i="16"/>
  <c r="B1171" i="16"/>
  <c r="B1170" i="16"/>
  <c r="B1169" i="16"/>
  <c r="B1168" i="16"/>
  <c r="B1167" i="16"/>
  <c r="B1166" i="16"/>
  <c r="B1165" i="16"/>
  <c r="B1164" i="16"/>
  <c r="B1163" i="16"/>
  <c r="B1162" i="16"/>
  <c r="B1161" i="16"/>
  <c r="B1160" i="16"/>
  <c r="B1159" i="16"/>
  <c r="B1158" i="16"/>
  <c r="B1157" i="16"/>
  <c r="B1156" i="16"/>
  <c r="B1155" i="16"/>
  <c r="B1154" i="16"/>
  <c r="B1153" i="16"/>
  <c r="B1152" i="16"/>
  <c r="B1151" i="16"/>
  <c r="B1150" i="16"/>
  <c r="B1149" i="16"/>
  <c r="B1148" i="16"/>
  <c r="B1147" i="16"/>
  <c r="B1146" i="16"/>
  <c r="B1145" i="16"/>
  <c r="B1144" i="16"/>
  <c r="B1143" i="16"/>
  <c r="B1142" i="16"/>
  <c r="B1141" i="16"/>
  <c r="B1140" i="16"/>
  <c r="B1139" i="16"/>
  <c r="B1138" i="16"/>
  <c r="B1137" i="16"/>
  <c r="B1136" i="16"/>
  <c r="B1135" i="16"/>
  <c r="B1134" i="16"/>
  <c r="B1133" i="16"/>
  <c r="B1132" i="16"/>
  <c r="B1131" i="16"/>
  <c r="B1130" i="16"/>
  <c r="B1129" i="16"/>
  <c r="B1128" i="16"/>
  <c r="B1127" i="16"/>
  <c r="B1126" i="16"/>
  <c r="B1125" i="16"/>
  <c r="B1124" i="16"/>
  <c r="B1123" i="16"/>
  <c r="B1122" i="16"/>
  <c r="B1121" i="16"/>
  <c r="B1120" i="16"/>
  <c r="B1119" i="16"/>
  <c r="B1118" i="16"/>
  <c r="B1117" i="16"/>
  <c r="B1116" i="16"/>
  <c r="B1115" i="16"/>
  <c r="B1114" i="16"/>
  <c r="B1113" i="16"/>
  <c r="B1112" i="16"/>
  <c r="B1111" i="16"/>
  <c r="B1110" i="16"/>
  <c r="B1109" i="16"/>
  <c r="B1108" i="16"/>
  <c r="B1107" i="16"/>
  <c r="B1106" i="16"/>
  <c r="B1105" i="16"/>
  <c r="B1104" i="16"/>
  <c r="B1103" i="16"/>
  <c r="B1102" i="16"/>
  <c r="B1101" i="16"/>
  <c r="B1100" i="16"/>
  <c r="B1099" i="16"/>
  <c r="B1098" i="16"/>
  <c r="B1097" i="16"/>
  <c r="B1096" i="16"/>
  <c r="B1095" i="16"/>
  <c r="B1094" i="16"/>
  <c r="B1093" i="16"/>
  <c r="B1092" i="16"/>
  <c r="B1091" i="16"/>
  <c r="B1090" i="16"/>
  <c r="B1089" i="16"/>
  <c r="B1088" i="16"/>
  <c r="B1087" i="16"/>
  <c r="B1086" i="16"/>
  <c r="B1085" i="16"/>
  <c r="B1084" i="16"/>
  <c r="B1083" i="16"/>
  <c r="B1082" i="16"/>
  <c r="B1081" i="16"/>
  <c r="B1080" i="16"/>
  <c r="B1079" i="16"/>
  <c r="B1078" i="16"/>
  <c r="B1077" i="16"/>
  <c r="B1076" i="16"/>
  <c r="B1075" i="16"/>
  <c r="B1074" i="16"/>
  <c r="B1073" i="16"/>
  <c r="B1072" i="16"/>
  <c r="B1071" i="16"/>
  <c r="B1070" i="16"/>
  <c r="B1069" i="16"/>
  <c r="B1068" i="16"/>
  <c r="B1067" i="16"/>
  <c r="B1066" i="16"/>
  <c r="B1065" i="16"/>
  <c r="B1064" i="16"/>
  <c r="B1063" i="16"/>
  <c r="B1062" i="16"/>
  <c r="B1061" i="16"/>
  <c r="B1060" i="16"/>
  <c r="B1059" i="16"/>
  <c r="B1058" i="16"/>
  <c r="B1057" i="16"/>
  <c r="B1056" i="16"/>
  <c r="B1055" i="16"/>
  <c r="B1054" i="16"/>
  <c r="B1053" i="16"/>
  <c r="B1052" i="16"/>
  <c r="B1051" i="16"/>
  <c r="B1050" i="16"/>
  <c r="B1049" i="16"/>
  <c r="B1048" i="16"/>
  <c r="B1047" i="16"/>
  <c r="B1046" i="16"/>
  <c r="B1045" i="16"/>
  <c r="B1044" i="16"/>
  <c r="B1043" i="16"/>
  <c r="B1042" i="16"/>
  <c r="B1041" i="16"/>
  <c r="B1040" i="16"/>
  <c r="B1039" i="16"/>
  <c r="B1038" i="16"/>
  <c r="B1037" i="16"/>
  <c r="B1036" i="16"/>
  <c r="B1035" i="16"/>
  <c r="B1034" i="16"/>
  <c r="B1033" i="16"/>
  <c r="B1032" i="16"/>
  <c r="B1031" i="16"/>
  <c r="B1030" i="16"/>
  <c r="B1029" i="16"/>
  <c r="B1028" i="16"/>
  <c r="B1027" i="16"/>
  <c r="B1026" i="16"/>
  <c r="B1025" i="16"/>
  <c r="B1024" i="16"/>
  <c r="B1023" i="16"/>
  <c r="B1022" i="16"/>
  <c r="B1021" i="16"/>
  <c r="B1020" i="16"/>
  <c r="B1019" i="16"/>
  <c r="B1018" i="16"/>
  <c r="B1017" i="16"/>
  <c r="B1016" i="16"/>
  <c r="B1015" i="16"/>
  <c r="B1014" i="16"/>
  <c r="B1013" i="16"/>
  <c r="B1012" i="16"/>
  <c r="B1011" i="16"/>
  <c r="B1010" i="16"/>
  <c r="B1009" i="16"/>
  <c r="B1008" i="16"/>
  <c r="B1007" i="16"/>
  <c r="B1006" i="16"/>
  <c r="B1005" i="16"/>
  <c r="B1004" i="16"/>
  <c r="B1003" i="16"/>
  <c r="B1002" i="16"/>
  <c r="B1001" i="16"/>
  <c r="B1000" i="16"/>
  <c r="B999" i="16"/>
  <c r="B998" i="16"/>
  <c r="B997" i="16"/>
  <c r="B996" i="16"/>
  <c r="B995" i="16"/>
  <c r="B994" i="16"/>
  <c r="B993" i="16"/>
  <c r="B992" i="16"/>
  <c r="B991" i="16"/>
  <c r="B990" i="16"/>
  <c r="B989" i="16"/>
  <c r="B988" i="16"/>
  <c r="B987" i="16"/>
  <c r="B986" i="16"/>
  <c r="B985" i="16"/>
  <c r="B984" i="16"/>
  <c r="B983" i="16"/>
  <c r="B982" i="16"/>
  <c r="B981" i="16"/>
  <c r="B980" i="16"/>
  <c r="B979" i="16"/>
  <c r="B978" i="16"/>
  <c r="B977" i="16"/>
  <c r="B976" i="16"/>
  <c r="B975" i="16"/>
  <c r="B974" i="16"/>
  <c r="B973" i="16"/>
  <c r="B972" i="16"/>
  <c r="B971" i="16"/>
  <c r="B970" i="16"/>
  <c r="B969" i="16"/>
  <c r="B968" i="16"/>
  <c r="B967" i="16"/>
  <c r="B966" i="16"/>
  <c r="B965" i="16"/>
  <c r="B964" i="16"/>
  <c r="B963" i="16"/>
  <c r="B962" i="16"/>
  <c r="B961" i="16"/>
  <c r="B960" i="16"/>
  <c r="B959" i="16"/>
  <c r="B958" i="16"/>
  <c r="B957" i="16"/>
  <c r="B956" i="16"/>
  <c r="B955" i="16"/>
  <c r="B954" i="16"/>
  <c r="B953" i="16"/>
  <c r="B952" i="16"/>
  <c r="B951" i="16"/>
  <c r="B950" i="16"/>
  <c r="B949" i="16"/>
  <c r="B948" i="16"/>
  <c r="B947" i="16"/>
  <c r="B946" i="16"/>
  <c r="B945" i="16"/>
  <c r="B944" i="16"/>
  <c r="B943" i="16"/>
  <c r="B942" i="16"/>
  <c r="B941" i="16"/>
  <c r="B940" i="16"/>
  <c r="B939" i="16"/>
  <c r="B938" i="16"/>
  <c r="B937" i="16"/>
  <c r="B936" i="16"/>
  <c r="B935" i="16"/>
  <c r="B934" i="16"/>
  <c r="B933" i="16"/>
  <c r="B932" i="16"/>
  <c r="B931" i="16"/>
  <c r="B930" i="16"/>
  <c r="B929" i="16"/>
  <c r="B928" i="16"/>
  <c r="B927" i="16"/>
  <c r="B926" i="16"/>
  <c r="B925" i="16"/>
  <c r="B924" i="16"/>
  <c r="B923" i="16"/>
  <c r="B922" i="16"/>
  <c r="B921" i="16"/>
  <c r="B920" i="16"/>
  <c r="B919" i="16"/>
  <c r="B918" i="16"/>
  <c r="B917" i="16"/>
  <c r="B916" i="16"/>
  <c r="B915" i="16"/>
  <c r="B914" i="16"/>
  <c r="B913" i="16"/>
  <c r="B912" i="16"/>
  <c r="B911" i="16"/>
  <c r="B910" i="16"/>
  <c r="B909" i="16"/>
  <c r="B908" i="16"/>
  <c r="B907" i="16"/>
  <c r="B906" i="16"/>
  <c r="B905" i="16"/>
  <c r="B904" i="16"/>
  <c r="B903" i="16"/>
  <c r="B902" i="16"/>
  <c r="B901" i="16"/>
  <c r="B900" i="16"/>
  <c r="B899" i="16"/>
  <c r="B898" i="16"/>
  <c r="B897" i="16"/>
  <c r="B896" i="16"/>
  <c r="B895" i="16"/>
  <c r="B894" i="16"/>
  <c r="B893" i="16"/>
  <c r="B892" i="16"/>
  <c r="B891" i="16"/>
  <c r="B890" i="16"/>
  <c r="B889" i="16"/>
  <c r="B888" i="16"/>
  <c r="B887" i="16"/>
  <c r="B886" i="16"/>
  <c r="B885" i="16"/>
  <c r="B884" i="16"/>
  <c r="B883" i="16"/>
  <c r="B882" i="16"/>
  <c r="B881" i="16"/>
  <c r="B880" i="16"/>
  <c r="B879" i="16"/>
  <c r="B878" i="16"/>
  <c r="B877" i="16"/>
  <c r="B876" i="16"/>
  <c r="B875" i="16"/>
  <c r="B874" i="16"/>
  <c r="B873" i="16"/>
  <c r="B872" i="16"/>
  <c r="B871" i="16"/>
  <c r="B870" i="16"/>
  <c r="B869" i="16"/>
  <c r="B868" i="16"/>
  <c r="B867" i="16"/>
  <c r="B866" i="16"/>
  <c r="B865" i="16"/>
  <c r="B864" i="16"/>
  <c r="B863" i="16"/>
  <c r="B862" i="16"/>
  <c r="B861" i="16"/>
  <c r="B860" i="16"/>
  <c r="B859" i="16"/>
  <c r="B858" i="16"/>
  <c r="B857" i="16"/>
  <c r="B856" i="16"/>
  <c r="B855" i="16"/>
  <c r="B854" i="16"/>
  <c r="B853" i="16"/>
  <c r="B852" i="16"/>
  <c r="B851" i="16"/>
  <c r="B850" i="16"/>
  <c r="B849" i="16"/>
  <c r="B848" i="16"/>
  <c r="B847" i="16"/>
  <c r="B846" i="16"/>
  <c r="B845" i="16"/>
  <c r="B844" i="16"/>
  <c r="B843" i="16"/>
  <c r="B842" i="16"/>
  <c r="B841" i="16"/>
  <c r="B840" i="16"/>
  <c r="B839" i="16"/>
  <c r="B838" i="16"/>
  <c r="B837" i="16"/>
  <c r="B836" i="16"/>
  <c r="B835" i="16"/>
  <c r="B834" i="16"/>
  <c r="B833" i="16"/>
  <c r="B832" i="16"/>
  <c r="B831" i="16"/>
  <c r="B830" i="16"/>
  <c r="B829" i="16"/>
  <c r="B828" i="16"/>
  <c r="B827" i="16"/>
  <c r="B826" i="16"/>
  <c r="B825" i="16"/>
  <c r="B824" i="16"/>
  <c r="B823" i="16"/>
  <c r="B822" i="16"/>
  <c r="B821" i="16"/>
  <c r="B820" i="16"/>
  <c r="B819" i="16"/>
  <c r="B818" i="16"/>
  <c r="B817" i="16"/>
  <c r="B816" i="16"/>
  <c r="B815" i="16"/>
  <c r="B814" i="16"/>
  <c r="B813" i="16"/>
  <c r="B812" i="16"/>
  <c r="B811" i="16"/>
  <c r="B810" i="16"/>
  <c r="B809" i="16"/>
  <c r="B808" i="16"/>
  <c r="B807" i="16"/>
  <c r="B806" i="16"/>
  <c r="B805" i="16"/>
  <c r="B804" i="16"/>
  <c r="B803" i="16"/>
  <c r="B802" i="16"/>
  <c r="B801" i="16"/>
  <c r="B800" i="16"/>
  <c r="B799" i="16"/>
  <c r="B798" i="16"/>
  <c r="B797" i="16"/>
  <c r="B796" i="16"/>
  <c r="B795" i="16"/>
  <c r="B794" i="16"/>
  <c r="B793" i="16"/>
  <c r="B792" i="16"/>
  <c r="B791" i="16"/>
  <c r="B790" i="16"/>
  <c r="B789" i="16"/>
  <c r="B788" i="16"/>
  <c r="B787" i="16"/>
  <c r="B786" i="16"/>
  <c r="B785" i="16"/>
  <c r="B784" i="16"/>
  <c r="B783" i="16"/>
  <c r="B782" i="16"/>
  <c r="B781" i="16"/>
  <c r="B780" i="16"/>
  <c r="B779" i="16"/>
  <c r="B778" i="16"/>
  <c r="B777" i="16"/>
  <c r="B776" i="16"/>
  <c r="B775" i="16"/>
  <c r="B774" i="16"/>
  <c r="B773" i="16"/>
  <c r="B772" i="16"/>
  <c r="B771" i="16"/>
  <c r="B770" i="16"/>
  <c r="B769" i="16"/>
  <c r="B768" i="16"/>
  <c r="B767" i="16"/>
  <c r="B766" i="16"/>
  <c r="B765" i="16"/>
  <c r="B764" i="16"/>
  <c r="B763" i="16"/>
  <c r="B762" i="16"/>
  <c r="B761" i="16"/>
  <c r="B760" i="16"/>
  <c r="B759" i="16"/>
  <c r="B758" i="16"/>
  <c r="B757" i="16"/>
  <c r="B756" i="16"/>
  <c r="B755" i="16"/>
  <c r="B754" i="16"/>
  <c r="B753" i="16"/>
  <c r="B752" i="16"/>
  <c r="B751" i="16"/>
  <c r="B750" i="16"/>
  <c r="B749" i="16"/>
  <c r="B748" i="16"/>
  <c r="B747" i="16"/>
  <c r="B746" i="16"/>
  <c r="B745" i="16"/>
  <c r="B744" i="16"/>
  <c r="B743" i="16"/>
  <c r="B742" i="16"/>
  <c r="B741" i="16"/>
  <c r="B740" i="16"/>
  <c r="B739" i="16"/>
  <c r="B738" i="16"/>
  <c r="B737" i="16"/>
  <c r="B736" i="16"/>
  <c r="B735" i="16"/>
  <c r="B734" i="16"/>
  <c r="B733" i="16"/>
  <c r="B732" i="16"/>
  <c r="B731" i="16"/>
  <c r="B730" i="16"/>
  <c r="B729" i="16"/>
  <c r="B728" i="16"/>
  <c r="B727" i="16"/>
  <c r="B726" i="16"/>
  <c r="B725" i="16"/>
  <c r="B724" i="16"/>
  <c r="B723" i="16"/>
  <c r="B722" i="16"/>
  <c r="B721" i="16"/>
  <c r="B720" i="16"/>
  <c r="B719" i="16"/>
  <c r="B718" i="16"/>
  <c r="B717" i="16"/>
  <c r="B716" i="16"/>
  <c r="B715" i="16"/>
  <c r="B714" i="16"/>
  <c r="B713" i="16"/>
  <c r="B712" i="16"/>
  <c r="B711" i="16"/>
  <c r="B710" i="16"/>
  <c r="B709" i="16"/>
  <c r="B708" i="16"/>
  <c r="B707" i="16"/>
  <c r="B706" i="16"/>
  <c r="B705" i="16"/>
  <c r="B704" i="16"/>
  <c r="B703" i="16"/>
  <c r="B702" i="16"/>
  <c r="B701" i="16"/>
  <c r="B700" i="16"/>
  <c r="B699" i="16"/>
  <c r="B698" i="16"/>
  <c r="B697" i="16"/>
  <c r="B696" i="16"/>
  <c r="B695" i="16"/>
  <c r="B694" i="16"/>
  <c r="B693" i="16"/>
  <c r="B692" i="16"/>
  <c r="B691" i="16"/>
  <c r="B690" i="16"/>
  <c r="B689" i="16"/>
  <c r="B688" i="16"/>
  <c r="B687" i="16"/>
  <c r="B686" i="16"/>
  <c r="B685" i="16"/>
  <c r="B684" i="16"/>
  <c r="B683" i="16"/>
  <c r="B682" i="16"/>
  <c r="B681" i="16"/>
  <c r="B680" i="16"/>
  <c r="B679" i="16"/>
  <c r="B678" i="16"/>
  <c r="B677" i="16"/>
  <c r="B676" i="16"/>
  <c r="B675" i="16"/>
  <c r="B674" i="16"/>
  <c r="B673" i="16"/>
  <c r="B672" i="16"/>
  <c r="B671" i="16"/>
  <c r="B670" i="16"/>
  <c r="B669" i="16"/>
  <c r="B668" i="16"/>
  <c r="B667" i="16"/>
  <c r="B666" i="16"/>
  <c r="B665" i="16"/>
  <c r="B664" i="16"/>
  <c r="B663" i="16"/>
  <c r="B662" i="16"/>
  <c r="B661" i="16"/>
  <c r="B660" i="16"/>
  <c r="B659" i="16"/>
  <c r="B658" i="16"/>
  <c r="B657" i="16"/>
  <c r="B656" i="16"/>
  <c r="B655" i="16"/>
  <c r="B654" i="16"/>
  <c r="B653" i="16"/>
  <c r="B652" i="16"/>
  <c r="B651" i="16"/>
  <c r="B650" i="16"/>
  <c r="B649" i="16"/>
  <c r="B648" i="16"/>
  <c r="B647" i="16"/>
  <c r="B646" i="16"/>
  <c r="B645" i="16"/>
  <c r="B644" i="16"/>
  <c r="B643" i="16"/>
  <c r="B642" i="16"/>
  <c r="B641" i="16"/>
  <c r="B640" i="16"/>
  <c r="B639" i="16"/>
  <c r="B638" i="16"/>
  <c r="B637" i="16"/>
  <c r="B636" i="16"/>
  <c r="B635" i="16"/>
  <c r="B634" i="16"/>
  <c r="B633" i="16"/>
  <c r="B632" i="16"/>
  <c r="B631" i="16"/>
  <c r="B630" i="16"/>
  <c r="B629" i="16"/>
  <c r="B628" i="16"/>
  <c r="B627" i="16"/>
  <c r="B626" i="16"/>
  <c r="B625" i="16"/>
  <c r="B624" i="16"/>
  <c r="B623" i="16"/>
  <c r="B622" i="16"/>
  <c r="B621" i="16"/>
  <c r="B620" i="16"/>
  <c r="B619" i="16"/>
  <c r="B618" i="16"/>
  <c r="B617" i="16"/>
  <c r="B616" i="16"/>
  <c r="B615" i="16"/>
  <c r="B614" i="16"/>
  <c r="B613" i="16"/>
  <c r="B612" i="16"/>
  <c r="B611" i="16"/>
  <c r="B610" i="16"/>
  <c r="B609" i="16"/>
  <c r="B608" i="16"/>
  <c r="B607" i="16"/>
  <c r="B606" i="16"/>
  <c r="B605" i="16"/>
  <c r="B604" i="16"/>
  <c r="B603" i="16"/>
  <c r="B602" i="16"/>
  <c r="B601" i="16"/>
  <c r="B600" i="16"/>
  <c r="B599" i="16"/>
  <c r="B598" i="16"/>
  <c r="B597" i="16"/>
  <c r="B596" i="16"/>
  <c r="B595" i="16"/>
  <c r="B594" i="16"/>
  <c r="B593" i="16"/>
  <c r="B592" i="16"/>
  <c r="B591" i="16"/>
  <c r="B590" i="16"/>
  <c r="B589" i="16"/>
  <c r="B588" i="16"/>
  <c r="B587" i="16"/>
  <c r="B586" i="16"/>
  <c r="B585" i="16"/>
  <c r="B584" i="16"/>
  <c r="B583" i="16"/>
  <c r="B582" i="16"/>
  <c r="B581" i="16"/>
  <c r="B580" i="16"/>
  <c r="B579" i="16"/>
  <c r="B578" i="16"/>
  <c r="B577" i="16"/>
  <c r="B576" i="16"/>
  <c r="B575" i="16"/>
  <c r="B574" i="16"/>
  <c r="B573" i="16"/>
  <c r="B572" i="16"/>
  <c r="B571" i="16"/>
  <c r="B570" i="16"/>
  <c r="B569" i="16"/>
  <c r="B568" i="16"/>
  <c r="B567" i="16"/>
  <c r="B566" i="16"/>
  <c r="B565" i="16"/>
  <c r="B564" i="16"/>
  <c r="B563" i="16"/>
  <c r="B562" i="16"/>
  <c r="B561" i="16"/>
  <c r="B560" i="16"/>
  <c r="B559" i="16"/>
  <c r="B558" i="16"/>
  <c r="B557" i="16"/>
  <c r="B556" i="16"/>
  <c r="B555" i="16"/>
  <c r="B554" i="16"/>
  <c r="B553" i="16"/>
  <c r="B552" i="16"/>
  <c r="B551" i="16"/>
  <c r="B550" i="16"/>
  <c r="B549" i="16"/>
  <c r="B548" i="16"/>
  <c r="B547" i="16"/>
  <c r="B546" i="16"/>
  <c r="B545" i="16"/>
  <c r="B544" i="16"/>
  <c r="B543" i="16"/>
  <c r="B542" i="16"/>
  <c r="B541" i="16"/>
  <c r="B540" i="16"/>
  <c r="B539" i="16"/>
  <c r="B538" i="16"/>
  <c r="B537" i="16"/>
  <c r="B536" i="16"/>
  <c r="B535" i="16"/>
  <c r="B534" i="16"/>
  <c r="B533" i="16"/>
  <c r="B532" i="16"/>
  <c r="B531" i="16"/>
  <c r="B530" i="16"/>
  <c r="B529" i="16"/>
  <c r="B528" i="16"/>
  <c r="B527" i="16"/>
  <c r="B526" i="16"/>
  <c r="B525" i="16"/>
  <c r="B524" i="16"/>
  <c r="B523" i="16"/>
  <c r="B522" i="16"/>
  <c r="B521" i="16"/>
  <c r="B520" i="16"/>
  <c r="B519" i="16"/>
  <c r="B518" i="16"/>
  <c r="B517" i="16"/>
  <c r="B516" i="16"/>
  <c r="B515" i="16"/>
  <c r="B514" i="16"/>
  <c r="B513" i="16"/>
  <c r="B512" i="16"/>
  <c r="B511" i="16"/>
  <c r="B510" i="16"/>
  <c r="B509" i="16"/>
  <c r="B508" i="16"/>
  <c r="B507" i="16"/>
  <c r="B506" i="16"/>
  <c r="B505" i="16"/>
  <c r="B504" i="16"/>
  <c r="B503" i="16"/>
  <c r="B502" i="16"/>
  <c r="B501" i="16"/>
  <c r="B500" i="16"/>
  <c r="B499" i="16"/>
  <c r="B498" i="16"/>
  <c r="B497" i="16"/>
  <c r="B496" i="16"/>
  <c r="B495" i="16"/>
  <c r="B494" i="16"/>
  <c r="B493" i="16"/>
  <c r="B492" i="16"/>
  <c r="B491" i="16"/>
  <c r="B490" i="16"/>
  <c r="B489" i="16"/>
  <c r="B488" i="16"/>
  <c r="B487" i="16"/>
  <c r="B486" i="16"/>
  <c r="B485" i="16"/>
  <c r="B484" i="16"/>
  <c r="B483" i="16"/>
  <c r="B482" i="16"/>
  <c r="B481" i="16"/>
  <c r="B480" i="16"/>
  <c r="B479" i="16"/>
  <c r="B478" i="16"/>
  <c r="B477" i="16"/>
  <c r="B476" i="16"/>
  <c r="B475" i="16"/>
  <c r="B474" i="16"/>
  <c r="B473" i="16"/>
  <c r="B472" i="16"/>
  <c r="B471" i="16"/>
  <c r="B470" i="16"/>
  <c r="B469" i="16"/>
  <c r="B468" i="16"/>
  <c r="B467" i="16"/>
  <c r="B466" i="16"/>
  <c r="B465" i="16"/>
  <c r="B464" i="16"/>
  <c r="B463" i="16"/>
  <c r="B462" i="16"/>
  <c r="B461" i="16"/>
  <c r="B460" i="16"/>
  <c r="B459" i="16"/>
  <c r="B458" i="16"/>
  <c r="B457" i="16"/>
  <c r="B456" i="16"/>
  <c r="B455" i="16"/>
  <c r="B454" i="16"/>
  <c r="B453" i="16"/>
  <c r="B452" i="16"/>
  <c r="B451" i="16"/>
  <c r="B450" i="16"/>
  <c r="B449" i="16"/>
  <c r="B448" i="16"/>
  <c r="B447" i="16"/>
  <c r="B446" i="16"/>
  <c r="B445" i="16"/>
  <c r="B444" i="16"/>
  <c r="B443" i="16"/>
  <c r="B442" i="16"/>
  <c r="B441" i="16"/>
  <c r="B440" i="16"/>
  <c r="B439" i="16"/>
  <c r="B438" i="16"/>
  <c r="B437" i="16"/>
  <c r="B436" i="16"/>
  <c r="B435" i="16"/>
  <c r="B434" i="16"/>
  <c r="B433" i="16"/>
  <c r="B432" i="16"/>
  <c r="B431" i="16"/>
  <c r="B430" i="16"/>
  <c r="B429" i="16"/>
  <c r="B428" i="16"/>
  <c r="B427" i="16"/>
  <c r="B426" i="16"/>
  <c r="B425" i="16"/>
  <c r="B424" i="16"/>
  <c r="B423" i="16"/>
  <c r="B422" i="16"/>
  <c r="B421" i="16"/>
  <c r="B420" i="16"/>
  <c r="B419" i="16"/>
  <c r="B418" i="16"/>
  <c r="B417" i="16"/>
  <c r="B416" i="16"/>
  <c r="B415" i="16"/>
  <c r="B414" i="16"/>
  <c r="B413" i="16"/>
  <c r="B412" i="16"/>
  <c r="B411" i="16"/>
  <c r="B410" i="16"/>
  <c r="B409" i="16"/>
  <c r="B408" i="16"/>
  <c r="B407" i="16"/>
  <c r="B406" i="16"/>
  <c r="B405" i="16"/>
  <c r="B404" i="16"/>
  <c r="B403" i="16"/>
  <c r="B402" i="16"/>
  <c r="B401" i="16"/>
  <c r="B400" i="16"/>
  <c r="B399" i="16"/>
  <c r="B398" i="16"/>
  <c r="B397" i="16"/>
  <c r="B396" i="16"/>
  <c r="B395" i="16"/>
  <c r="B394" i="16"/>
  <c r="B393" i="16"/>
  <c r="B392" i="16"/>
  <c r="B391" i="16"/>
  <c r="B390" i="16"/>
  <c r="B389" i="16"/>
  <c r="B388" i="16"/>
  <c r="B387" i="16"/>
  <c r="B386" i="16"/>
  <c r="B385" i="16"/>
  <c r="B384" i="16"/>
  <c r="B383" i="16"/>
  <c r="B382" i="16"/>
  <c r="B381" i="16"/>
  <c r="B380" i="16"/>
  <c r="B379" i="16"/>
  <c r="B378" i="16"/>
  <c r="B377" i="16"/>
  <c r="B376" i="16"/>
  <c r="B375" i="16"/>
  <c r="B374" i="16"/>
  <c r="B373" i="16"/>
  <c r="B372" i="16"/>
  <c r="B371" i="16"/>
  <c r="B370" i="16"/>
  <c r="B369" i="16"/>
  <c r="B368" i="16"/>
  <c r="B367" i="16"/>
  <c r="B366" i="16"/>
  <c r="B365" i="16"/>
  <c r="B364" i="16"/>
  <c r="B363" i="16"/>
  <c r="B362" i="16"/>
  <c r="B361" i="16"/>
  <c r="B360" i="16"/>
  <c r="B359" i="16"/>
  <c r="B358" i="16"/>
  <c r="B357" i="16"/>
  <c r="B356" i="16"/>
  <c r="B355" i="16"/>
  <c r="B354" i="16"/>
  <c r="B353" i="16"/>
  <c r="B352" i="16"/>
  <c r="B351" i="16"/>
  <c r="B350" i="16"/>
  <c r="B349" i="16"/>
  <c r="B348" i="16"/>
  <c r="B347" i="16"/>
  <c r="B346" i="16"/>
  <c r="B345" i="16"/>
  <c r="B344" i="16"/>
  <c r="B343" i="16"/>
  <c r="B342" i="16"/>
  <c r="B341" i="16"/>
  <c r="B340" i="16"/>
  <c r="B339" i="16"/>
  <c r="B338" i="16"/>
  <c r="B337" i="16"/>
  <c r="B336" i="16"/>
  <c r="B335" i="16"/>
  <c r="B334" i="16"/>
  <c r="B333" i="16"/>
  <c r="B332" i="16"/>
  <c r="B331" i="16"/>
  <c r="B330" i="16"/>
  <c r="B329" i="16"/>
  <c r="B328" i="16"/>
  <c r="B327" i="16"/>
  <c r="B326" i="16"/>
  <c r="B325" i="16"/>
  <c r="B324" i="16"/>
  <c r="B323" i="16"/>
  <c r="B322" i="16"/>
  <c r="B321" i="16"/>
  <c r="B320" i="16"/>
  <c r="B319" i="16"/>
  <c r="B318" i="16"/>
  <c r="B317" i="16"/>
  <c r="B316" i="16"/>
  <c r="B315" i="16"/>
  <c r="B314" i="16"/>
  <c r="B313" i="16"/>
  <c r="B312" i="16"/>
  <c r="B311" i="16"/>
  <c r="B310" i="16"/>
  <c r="B309" i="16"/>
  <c r="B308" i="16"/>
  <c r="B307" i="16"/>
  <c r="B306" i="16"/>
  <c r="B305" i="16"/>
  <c r="B304" i="16"/>
  <c r="B303" i="16"/>
  <c r="B302" i="16"/>
  <c r="B301" i="16"/>
  <c r="B300" i="16"/>
  <c r="B299" i="16"/>
  <c r="B298" i="16"/>
  <c r="B297" i="16"/>
  <c r="B296" i="16"/>
  <c r="B295" i="16"/>
  <c r="B294" i="16"/>
  <c r="B293" i="16"/>
  <c r="B292" i="16"/>
  <c r="B291" i="16"/>
  <c r="B290" i="16"/>
  <c r="B289" i="16"/>
  <c r="B288" i="16"/>
  <c r="B287" i="16"/>
  <c r="B286" i="16"/>
  <c r="B285" i="16"/>
  <c r="B284" i="16"/>
  <c r="B283" i="16"/>
  <c r="B282" i="16"/>
  <c r="B281" i="16"/>
  <c r="B280" i="16"/>
  <c r="B279" i="16"/>
  <c r="B278" i="16"/>
  <c r="B277" i="16"/>
  <c r="B276" i="16"/>
  <c r="B275" i="16"/>
  <c r="B274" i="16"/>
  <c r="B273" i="16"/>
  <c r="B272" i="16"/>
  <c r="B271" i="16"/>
  <c r="B270" i="16"/>
  <c r="B269" i="16"/>
  <c r="B268" i="16"/>
  <c r="B267" i="16"/>
  <c r="B266" i="16"/>
  <c r="B265" i="16"/>
  <c r="B264" i="16"/>
  <c r="B263" i="16"/>
  <c r="B262" i="16"/>
  <c r="B261" i="16"/>
  <c r="B260" i="16"/>
  <c r="B259" i="16"/>
  <c r="B258" i="16"/>
  <c r="B257" i="16"/>
  <c r="B256" i="16"/>
  <c r="B255" i="16"/>
  <c r="B254" i="16"/>
  <c r="B253" i="16"/>
  <c r="B252" i="16"/>
  <c r="B251" i="16"/>
  <c r="B250" i="16"/>
  <c r="B249" i="16"/>
  <c r="B248" i="16"/>
  <c r="B247" i="16"/>
  <c r="B246" i="16"/>
  <c r="B245" i="16"/>
  <c r="B244" i="16"/>
  <c r="B243" i="16"/>
  <c r="B242" i="16"/>
  <c r="B241" i="16"/>
  <c r="B240" i="16"/>
  <c r="B239" i="16"/>
  <c r="B238" i="16"/>
  <c r="B237" i="16"/>
  <c r="B236" i="16"/>
  <c r="B235" i="16"/>
  <c r="B234" i="16"/>
  <c r="B233" i="16"/>
  <c r="B232" i="16"/>
  <c r="B231" i="16"/>
  <c r="B230" i="16"/>
  <c r="B229" i="16"/>
  <c r="B228" i="16"/>
  <c r="B227" i="16"/>
  <c r="B226" i="16"/>
  <c r="B225" i="16"/>
  <c r="B224" i="16"/>
  <c r="B223" i="16"/>
  <c r="B222" i="16"/>
  <c r="B221" i="16"/>
  <c r="B220" i="16"/>
  <c r="B219" i="16"/>
  <c r="B218" i="16"/>
  <c r="B217" i="16"/>
  <c r="B216" i="16"/>
  <c r="B215" i="16"/>
  <c r="B214" i="16"/>
  <c r="B213" i="16"/>
  <c r="B212" i="16"/>
  <c r="B211" i="16"/>
  <c r="B210" i="16"/>
  <c r="B209" i="16"/>
  <c r="B208" i="16"/>
  <c r="B207" i="16"/>
  <c r="B206" i="16"/>
  <c r="B205" i="16"/>
  <c r="B204" i="16"/>
  <c r="B203" i="16"/>
  <c r="B202" i="16"/>
  <c r="B201" i="16"/>
  <c r="B200" i="16"/>
  <c r="B199" i="16"/>
  <c r="B198" i="16"/>
  <c r="B197" i="16"/>
  <c r="B196" i="16"/>
  <c r="B195" i="16"/>
  <c r="B194" i="16"/>
  <c r="B193" i="16"/>
  <c r="B192" i="16"/>
  <c r="B191" i="16"/>
  <c r="B190" i="16"/>
  <c r="B189" i="16"/>
  <c r="B188" i="16"/>
  <c r="B187" i="16"/>
  <c r="B186" i="16"/>
  <c r="B185" i="16"/>
  <c r="B184" i="16"/>
  <c r="B183" i="16"/>
  <c r="B182" i="16"/>
  <c r="B181" i="16"/>
  <c r="B180" i="16"/>
  <c r="B179" i="16"/>
  <c r="B178" i="16"/>
  <c r="B177" i="16"/>
  <c r="B176" i="16"/>
  <c r="B175" i="16"/>
  <c r="B174" i="16"/>
  <c r="B173" i="16"/>
  <c r="B172" i="16"/>
  <c r="B171" i="16"/>
  <c r="B170" i="16"/>
  <c r="B169" i="16"/>
  <c r="B168" i="16"/>
  <c r="B167" i="16"/>
  <c r="B166" i="16"/>
  <c r="B165" i="16"/>
  <c r="B164" i="16"/>
  <c r="B163" i="16"/>
  <c r="B162" i="16"/>
  <c r="B161" i="16"/>
  <c r="B160" i="16"/>
  <c r="B159" i="16"/>
  <c r="B158" i="16"/>
  <c r="B157" i="16"/>
  <c r="B156" i="16"/>
  <c r="B155" i="16"/>
  <c r="B154" i="16"/>
  <c r="B153" i="16"/>
  <c r="B152" i="16"/>
  <c r="B151" i="16"/>
  <c r="B150" i="16"/>
  <c r="B149" i="16"/>
  <c r="B148" i="16"/>
  <c r="B147" i="16"/>
  <c r="B146" i="16"/>
  <c r="B145" i="16"/>
  <c r="B144" i="16"/>
  <c r="B143" i="16"/>
  <c r="B142" i="16"/>
  <c r="B141" i="16"/>
  <c r="B140" i="16"/>
  <c r="B139" i="16"/>
  <c r="B138" i="16"/>
  <c r="B137" i="16"/>
  <c r="B136" i="16"/>
  <c r="B135" i="16"/>
  <c r="B134" i="16"/>
  <c r="B133" i="16"/>
  <c r="B132" i="16"/>
  <c r="B131" i="16"/>
  <c r="B130" i="16"/>
  <c r="B129" i="16"/>
  <c r="B128" i="16"/>
  <c r="B127" i="16"/>
  <c r="B126" i="16"/>
  <c r="B125" i="16"/>
  <c r="B124" i="16"/>
  <c r="B123" i="16"/>
  <c r="B122" i="16"/>
  <c r="B121" i="16"/>
  <c r="B120" i="16"/>
  <c r="B119" i="16"/>
  <c r="B118" i="16"/>
  <c r="B117" i="16"/>
  <c r="B116" i="16"/>
  <c r="B115" i="16"/>
  <c r="B11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J27" i="16"/>
  <c r="B27" i="16"/>
  <c r="J26" i="16"/>
  <c r="B26" i="16"/>
  <c r="J25" i="16"/>
  <c r="B25" i="16"/>
  <c r="B24" i="16"/>
  <c r="B23" i="16"/>
  <c r="J22" i="16"/>
  <c r="B22" i="16"/>
  <c r="B21" i="16"/>
  <c r="J20" i="16"/>
  <c r="B20" i="16"/>
  <c r="B19" i="16"/>
  <c r="B18" i="16"/>
  <c r="B17" i="16"/>
  <c r="B16" i="16"/>
  <c r="B15" i="16"/>
  <c r="B14" i="16"/>
  <c r="J13" i="16"/>
  <c r="J15" i="16" s="1"/>
  <c r="B13" i="16"/>
  <c r="B12" i="16"/>
  <c r="B11" i="16"/>
  <c r="B10" i="16"/>
  <c r="B9" i="16"/>
  <c r="B8" i="16"/>
  <c r="B7" i="16"/>
  <c r="B6" i="16"/>
  <c r="B5" i="16"/>
  <c r="B4" i="16"/>
  <c r="B2445" i="15"/>
  <c r="B2444" i="15"/>
  <c r="B2443" i="15"/>
  <c r="B2442" i="15"/>
  <c r="B2441" i="15"/>
  <c r="B2440" i="15"/>
  <c r="B2439" i="15"/>
  <c r="B2438" i="15"/>
  <c r="B2437" i="15"/>
  <c r="B2436" i="15"/>
  <c r="B2435" i="15"/>
  <c r="B2434" i="15"/>
  <c r="B2433" i="15"/>
  <c r="B2432" i="15"/>
  <c r="B2431" i="15"/>
  <c r="B2430" i="15"/>
  <c r="B2429" i="15"/>
  <c r="B2428" i="15"/>
  <c r="B2427" i="15"/>
  <c r="B2426" i="15"/>
  <c r="B2425" i="15"/>
  <c r="B2424" i="15"/>
  <c r="B2423" i="15"/>
  <c r="B2422" i="15"/>
  <c r="B2421" i="15"/>
  <c r="B2420" i="15"/>
  <c r="B2419" i="15"/>
  <c r="B2418" i="15"/>
  <c r="B2417" i="15"/>
  <c r="B2416" i="15"/>
  <c r="B2415" i="15"/>
  <c r="B2414" i="15"/>
  <c r="B2413" i="15"/>
  <c r="B2412" i="15"/>
  <c r="B2411" i="15"/>
  <c r="B2410" i="15"/>
  <c r="B2409" i="15"/>
  <c r="B2408" i="15"/>
  <c r="B2407" i="15"/>
  <c r="B2406" i="15"/>
  <c r="B2405" i="15"/>
  <c r="B2404" i="15"/>
  <c r="B2403" i="15"/>
  <c r="B2402" i="15"/>
  <c r="B2401" i="15"/>
  <c r="B2400" i="15"/>
  <c r="B2399" i="15"/>
  <c r="B2398" i="15"/>
  <c r="B2397" i="15"/>
  <c r="B2396" i="15"/>
  <c r="B2395" i="15"/>
  <c r="B2394" i="15"/>
  <c r="B2393" i="15"/>
  <c r="B2392" i="15"/>
  <c r="B2391" i="15"/>
  <c r="B2390" i="15"/>
  <c r="B2389" i="15"/>
  <c r="B2388" i="15"/>
  <c r="B2387" i="15"/>
  <c r="B2386" i="15"/>
  <c r="B2385" i="15"/>
  <c r="B2384" i="15"/>
  <c r="B2383" i="15"/>
  <c r="B2382" i="15"/>
  <c r="B2381" i="15"/>
  <c r="B2380" i="15"/>
  <c r="B2379" i="15"/>
  <c r="B2378" i="15"/>
  <c r="B2377" i="15"/>
  <c r="B2376" i="15"/>
  <c r="B2375" i="15"/>
  <c r="B2374" i="15"/>
  <c r="B2373" i="15"/>
  <c r="B2372" i="15"/>
  <c r="B2371" i="15"/>
  <c r="B2370" i="15"/>
  <c r="B2369" i="15"/>
  <c r="B2368" i="15"/>
  <c r="B2367" i="15"/>
  <c r="B2366" i="15"/>
  <c r="B2365" i="15"/>
  <c r="B2364" i="15"/>
  <c r="B2363" i="15"/>
  <c r="B2362" i="15"/>
  <c r="B2361" i="15"/>
  <c r="B2360" i="15"/>
  <c r="B2359" i="15"/>
  <c r="B2358" i="15"/>
  <c r="B2357" i="15"/>
  <c r="B2356" i="15"/>
  <c r="B2355" i="15"/>
  <c r="B2354" i="15"/>
  <c r="B2353" i="15"/>
  <c r="B2352" i="15"/>
  <c r="B2351" i="15"/>
  <c r="B2350" i="15"/>
  <c r="B2349" i="15"/>
  <c r="B2348" i="15"/>
  <c r="B2347" i="15"/>
  <c r="B2346" i="15"/>
  <c r="B2345" i="15"/>
  <c r="B2344" i="15"/>
  <c r="B2343" i="15"/>
  <c r="B2342" i="15"/>
  <c r="B2341" i="15"/>
  <c r="B2340" i="15"/>
  <c r="B2339" i="15"/>
  <c r="B2338" i="15"/>
  <c r="B2337" i="15"/>
  <c r="B2336" i="15"/>
  <c r="B2335" i="15"/>
  <c r="B2334" i="15"/>
  <c r="B2333" i="15"/>
  <c r="B2332" i="15"/>
  <c r="B2331" i="15"/>
  <c r="B2330" i="15"/>
  <c r="B2329" i="15"/>
  <c r="B2328" i="15"/>
  <c r="B2327" i="15"/>
  <c r="B2326" i="15"/>
  <c r="B2325" i="15"/>
  <c r="B2324" i="15"/>
  <c r="B2323" i="15"/>
  <c r="B2322" i="15"/>
  <c r="B2321" i="15"/>
  <c r="B2320" i="15"/>
  <c r="B2319" i="15"/>
  <c r="B2318" i="15"/>
  <c r="B2317" i="15"/>
  <c r="B2316" i="15"/>
  <c r="B2315" i="15"/>
  <c r="B2314" i="15"/>
  <c r="B2313" i="15"/>
  <c r="B2312" i="15"/>
  <c r="B2311" i="15"/>
  <c r="B2310" i="15"/>
  <c r="B2309" i="15"/>
  <c r="B2308" i="15"/>
  <c r="B2307" i="15"/>
  <c r="B2306" i="15"/>
  <c r="B2305" i="15"/>
  <c r="B2304" i="15"/>
  <c r="B2303" i="15"/>
  <c r="B2302" i="15"/>
  <c r="B2301" i="15"/>
  <c r="B2300" i="15"/>
  <c r="B2299" i="15"/>
  <c r="B2298" i="15"/>
  <c r="B2297" i="15"/>
  <c r="B2296" i="15"/>
  <c r="B2295" i="15"/>
  <c r="B2294" i="15"/>
  <c r="B2293" i="15"/>
  <c r="B2292" i="15"/>
  <c r="B2291" i="15"/>
  <c r="B2290" i="15"/>
  <c r="B2289" i="15"/>
  <c r="B2288" i="15"/>
  <c r="B2287" i="15"/>
  <c r="B2286" i="15"/>
  <c r="B2285" i="15"/>
  <c r="B2284" i="15"/>
  <c r="B2283" i="15"/>
  <c r="B2282" i="15"/>
  <c r="B2281" i="15"/>
  <c r="B2280" i="15"/>
  <c r="B2279" i="15"/>
  <c r="B2278" i="15"/>
  <c r="B2277" i="15"/>
  <c r="B2276" i="15"/>
  <c r="B2275" i="15"/>
  <c r="B2274" i="15"/>
  <c r="B2273" i="15"/>
  <c r="B2272" i="15"/>
  <c r="B2271" i="15"/>
  <c r="B2270" i="15"/>
  <c r="B2269" i="15"/>
  <c r="B2268" i="15"/>
  <c r="B2267" i="15"/>
  <c r="B2266" i="15"/>
  <c r="B2265" i="15"/>
  <c r="B2264" i="15"/>
  <c r="B2263" i="15"/>
  <c r="B2262" i="15"/>
  <c r="B2261" i="15"/>
  <c r="B2260" i="15"/>
  <c r="B2259" i="15"/>
  <c r="B2258" i="15"/>
  <c r="B2257" i="15"/>
  <c r="B2256" i="15"/>
  <c r="B2255" i="15"/>
  <c r="B2254" i="15"/>
  <c r="B2253" i="15"/>
  <c r="B2252" i="15"/>
  <c r="B2251" i="15"/>
  <c r="B2250" i="15"/>
  <c r="B2249" i="15"/>
  <c r="B2248" i="15"/>
  <c r="B2247" i="15"/>
  <c r="B2246" i="15"/>
  <c r="B2245" i="15"/>
  <c r="B2244" i="15"/>
  <c r="B2243" i="15"/>
  <c r="B2242" i="15"/>
  <c r="B2241" i="15"/>
  <c r="B2240" i="15"/>
  <c r="B2239" i="15"/>
  <c r="B2238" i="15"/>
  <c r="B2237" i="15"/>
  <c r="B2236" i="15"/>
  <c r="B2235" i="15"/>
  <c r="B2234" i="15"/>
  <c r="B2233" i="15"/>
  <c r="B2232" i="15"/>
  <c r="B2231" i="15"/>
  <c r="B2230" i="15"/>
  <c r="B2229" i="15"/>
  <c r="B2228" i="15"/>
  <c r="B2227" i="15"/>
  <c r="B2226" i="15"/>
  <c r="B2225" i="15"/>
  <c r="B2224" i="15"/>
  <c r="B2223" i="15"/>
  <c r="B2222" i="15"/>
  <c r="B2221" i="15"/>
  <c r="B2220" i="15"/>
  <c r="B2219" i="15"/>
  <c r="B2218" i="15"/>
  <c r="B2217" i="15"/>
  <c r="B2216" i="15"/>
  <c r="B2215" i="15"/>
  <c r="B2214" i="15"/>
  <c r="B2213" i="15"/>
  <c r="B2212" i="15"/>
  <c r="B2211" i="15"/>
  <c r="B2210" i="15"/>
  <c r="B2209" i="15"/>
  <c r="B2208" i="15"/>
  <c r="B2207" i="15"/>
  <c r="B2206" i="15"/>
  <c r="B2205" i="15"/>
  <c r="B2204" i="15"/>
  <c r="B2203" i="15"/>
  <c r="B2202" i="15"/>
  <c r="B2201" i="15"/>
  <c r="B2200" i="15"/>
  <c r="B2199" i="15"/>
  <c r="B2198" i="15"/>
  <c r="B2197" i="15"/>
  <c r="B2196" i="15"/>
  <c r="B2195" i="15"/>
  <c r="B2194" i="15"/>
  <c r="B2193" i="15"/>
  <c r="B2192" i="15"/>
  <c r="B2191" i="15"/>
  <c r="B2190" i="15"/>
  <c r="B2189" i="15"/>
  <c r="B2188" i="15"/>
  <c r="B2187" i="15"/>
  <c r="B2186" i="15"/>
  <c r="B2185" i="15"/>
  <c r="B2184" i="15"/>
  <c r="B2183" i="15"/>
  <c r="B2182" i="15"/>
  <c r="B2181" i="15"/>
  <c r="B2180" i="15"/>
  <c r="B2179" i="15"/>
  <c r="B2178" i="15"/>
  <c r="B2177" i="15"/>
  <c r="B2176" i="15"/>
  <c r="B2175" i="15"/>
  <c r="B2174" i="15"/>
  <c r="B2173" i="15"/>
  <c r="B2172" i="15"/>
  <c r="B2171" i="15"/>
  <c r="B2170" i="15"/>
  <c r="B2169" i="15"/>
  <c r="B2168" i="15"/>
  <c r="B2167" i="15"/>
  <c r="B2166" i="15"/>
  <c r="B2165" i="15"/>
  <c r="B2164" i="15"/>
  <c r="B2163" i="15"/>
  <c r="B2162" i="15"/>
  <c r="B2161" i="15"/>
  <c r="B2160" i="15"/>
  <c r="B2159" i="15"/>
  <c r="B2158" i="15"/>
  <c r="B2157" i="15"/>
  <c r="B2156" i="15"/>
  <c r="B2155" i="15"/>
  <c r="B2154" i="15"/>
  <c r="B2153" i="15"/>
  <c r="B2152" i="15"/>
  <c r="B2151" i="15"/>
  <c r="B2150" i="15"/>
  <c r="B2149" i="15"/>
  <c r="B2148" i="15"/>
  <c r="B2147" i="15"/>
  <c r="B2146" i="15"/>
  <c r="B2145" i="15"/>
  <c r="B2144" i="15"/>
  <c r="B2143" i="15"/>
  <c r="B2142" i="15"/>
  <c r="B2141" i="15"/>
  <c r="B2140" i="15"/>
  <c r="B2139" i="15"/>
  <c r="B2138" i="15"/>
  <c r="B2137" i="15"/>
  <c r="B2136" i="15"/>
  <c r="B2135" i="15"/>
  <c r="B2134" i="15"/>
  <c r="B2133" i="15"/>
  <c r="B2132" i="15"/>
  <c r="B2131" i="15"/>
  <c r="B2130" i="15"/>
  <c r="B2129" i="15"/>
  <c r="B2128" i="15"/>
  <c r="B2127" i="15"/>
  <c r="B2126" i="15"/>
  <c r="B2125" i="15"/>
  <c r="B2124" i="15"/>
  <c r="B2123" i="15"/>
  <c r="B2122" i="15"/>
  <c r="B2121" i="15"/>
  <c r="B2120" i="15"/>
  <c r="B2119" i="15"/>
  <c r="B2118" i="15"/>
  <c r="B2117" i="15"/>
  <c r="B2116" i="15"/>
  <c r="B2115" i="15"/>
  <c r="B2114" i="15"/>
  <c r="B2113" i="15"/>
  <c r="B2112" i="15"/>
  <c r="B2111" i="15"/>
  <c r="B2110" i="15"/>
  <c r="B2109" i="15"/>
  <c r="B2108" i="15"/>
  <c r="B2107" i="15"/>
  <c r="B2106" i="15"/>
  <c r="B2105" i="15"/>
  <c r="B2104" i="15"/>
  <c r="B2103" i="15"/>
  <c r="B2102" i="15"/>
  <c r="B2101" i="15"/>
  <c r="B2100" i="15"/>
  <c r="B2099" i="15"/>
  <c r="B2098" i="15"/>
  <c r="B2097" i="15"/>
  <c r="B2096" i="15"/>
  <c r="B2095" i="15"/>
  <c r="B2094" i="15"/>
  <c r="B2093" i="15"/>
  <c r="B2092" i="15"/>
  <c r="B2091" i="15"/>
  <c r="B2090" i="15"/>
  <c r="B2089" i="15"/>
  <c r="B2088" i="15"/>
  <c r="B2087" i="15"/>
  <c r="B2086" i="15"/>
  <c r="B2085" i="15"/>
  <c r="B2084" i="15"/>
  <c r="B2083" i="15"/>
  <c r="B2082" i="15"/>
  <c r="B2081" i="15"/>
  <c r="B2080" i="15"/>
  <c r="B2079" i="15"/>
  <c r="B2078" i="15"/>
  <c r="B2077" i="15"/>
  <c r="B2076" i="15"/>
  <c r="B2075" i="15"/>
  <c r="B2074" i="15"/>
  <c r="B2073" i="15"/>
  <c r="B2072" i="15"/>
  <c r="B2071" i="15"/>
  <c r="B2070" i="15"/>
  <c r="B2069" i="15"/>
  <c r="B2068" i="15"/>
  <c r="B2067" i="15"/>
  <c r="B2066" i="15"/>
  <c r="B2065" i="15"/>
  <c r="B2064" i="15"/>
  <c r="B2063" i="15"/>
  <c r="B2062" i="15"/>
  <c r="B2061" i="15"/>
  <c r="B2060" i="15"/>
  <c r="B2059" i="15"/>
  <c r="B2058" i="15"/>
  <c r="B2057" i="15"/>
  <c r="B2056" i="15"/>
  <c r="B2055" i="15"/>
  <c r="B2054" i="15"/>
  <c r="B2053" i="15"/>
  <c r="B2052" i="15"/>
  <c r="B2051" i="15"/>
  <c r="B2050" i="15"/>
  <c r="B2049" i="15"/>
  <c r="B2048" i="15"/>
  <c r="B2047" i="15"/>
  <c r="B2046" i="15"/>
  <c r="B2045" i="15"/>
  <c r="B2044" i="15"/>
  <c r="B2043" i="15"/>
  <c r="B2042" i="15"/>
  <c r="B2041" i="15"/>
  <c r="B2040" i="15"/>
  <c r="B2039" i="15"/>
  <c r="B2038" i="15"/>
  <c r="B2037" i="15"/>
  <c r="B2036" i="15"/>
  <c r="B2035" i="15"/>
  <c r="B2034" i="15"/>
  <c r="B2033" i="15"/>
  <c r="B2032" i="15"/>
  <c r="B2031" i="15"/>
  <c r="B2030" i="15"/>
  <c r="B2029" i="15"/>
  <c r="B2028" i="15"/>
  <c r="B2027" i="15"/>
  <c r="B2026" i="15"/>
  <c r="B2025" i="15"/>
  <c r="B2024" i="15"/>
  <c r="B2023" i="15"/>
  <c r="B2022" i="15"/>
  <c r="B2021" i="15"/>
  <c r="B2020" i="15"/>
  <c r="B2019" i="15"/>
  <c r="B2018" i="15"/>
  <c r="B2017" i="15"/>
  <c r="B2016" i="15"/>
  <c r="B2015" i="15"/>
  <c r="B2014" i="15"/>
  <c r="B2013" i="15"/>
  <c r="B2012" i="15"/>
  <c r="B2011" i="15"/>
  <c r="B2010" i="15"/>
  <c r="B2009" i="15"/>
  <c r="B2008" i="15"/>
  <c r="B2007" i="15"/>
  <c r="B2006" i="15"/>
  <c r="B2005" i="15"/>
  <c r="B2004" i="15"/>
  <c r="B2003" i="15"/>
  <c r="B2002" i="15"/>
  <c r="B2001" i="15"/>
  <c r="B2000" i="15"/>
  <c r="B1999" i="15"/>
  <c r="B1998" i="15"/>
  <c r="B1997" i="15"/>
  <c r="B1996" i="15"/>
  <c r="B1995" i="15"/>
  <c r="B1994" i="15"/>
  <c r="B1993" i="15"/>
  <c r="B1992" i="15"/>
  <c r="B1991" i="15"/>
  <c r="B1990" i="15"/>
  <c r="B1989" i="15"/>
  <c r="B1988" i="15"/>
  <c r="B1987" i="15"/>
  <c r="B1986" i="15"/>
  <c r="B1985" i="15"/>
  <c r="B1984" i="15"/>
  <c r="B1983" i="15"/>
  <c r="B1982" i="15"/>
  <c r="B1981" i="15"/>
  <c r="B1980" i="15"/>
  <c r="B1979" i="15"/>
  <c r="B1978" i="15"/>
  <c r="B1977" i="15"/>
  <c r="B1976" i="15"/>
  <c r="B1975" i="15"/>
  <c r="B1974" i="15"/>
  <c r="B1973" i="15"/>
  <c r="B1972" i="15"/>
  <c r="B1971" i="15"/>
  <c r="B1970" i="15"/>
  <c r="B1969" i="15"/>
  <c r="B1968" i="15"/>
  <c r="B1967" i="15"/>
  <c r="B1966" i="15"/>
  <c r="B1965" i="15"/>
  <c r="B1964" i="15"/>
  <c r="B1963" i="15"/>
  <c r="B1962" i="15"/>
  <c r="B1961" i="15"/>
  <c r="B1960" i="15"/>
  <c r="B1959" i="15"/>
  <c r="B1958" i="15"/>
  <c r="B1957" i="15"/>
  <c r="B1956" i="15"/>
  <c r="B1955" i="15"/>
  <c r="B1954" i="15"/>
  <c r="B1953" i="15"/>
  <c r="B1952" i="15"/>
  <c r="B1951" i="15"/>
  <c r="B1950" i="15"/>
  <c r="B1949" i="15"/>
  <c r="B1948" i="15"/>
  <c r="B1947" i="15"/>
  <c r="B1946" i="15"/>
  <c r="B1945" i="15"/>
  <c r="B1944" i="15"/>
  <c r="B1943" i="15"/>
  <c r="B1942" i="15"/>
  <c r="B1941" i="15"/>
  <c r="B1940" i="15"/>
  <c r="B1939" i="15"/>
  <c r="B1938" i="15"/>
  <c r="B1937" i="15"/>
  <c r="B1936" i="15"/>
  <c r="B1935" i="15"/>
  <c r="B1934" i="15"/>
  <c r="B1933" i="15"/>
  <c r="B1932" i="15"/>
  <c r="B1931" i="15"/>
  <c r="B1930" i="15"/>
  <c r="B1929" i="15"/>
  <c r="B1928" i="15"/>
  <c r="B1927" i="15"/>
  <c r="B1926" i="15"/>
  <c r="B1925" i="15"/>
  <c r="B1924" i="15"/>
  <c r="B1923" i="15"/>
  <c r="B1922" i="15"/>
  <c r="B1921" i="15"/>
  <c r="B1920" i="15"/>
  <c r="B1919" i="15"/>
  <c r="B1918" i="15"/>
  <c r="B1917" i="15"/>
  <c r="B1916" i="15"/>
  <c r="B1915" i="15"/>
  <c r="B1914" i="15"/>
  <c r="B1913" i="15"/>
  <c r="B1912" i="15"/>
  <c r="B1911" i="15"/>
  <c r="B1910" i="15"/>
  <c r="B1909" i="15"/>
  <c r="B1908" i="15"/>
  <c r="B1907" i="15"/>
  <c r="B1906" i="15"/>
  <c r="B1905" i="15"/>
  <c r="B1904" i="15"/>
  <c r="B1903" i="15"/>
  <c r="B1902" i="15"/>
  <c r="B1901" i="15"/>
  <c r="B1900" i="15"/>
  <c r="B1899" i="15"/>
  <c r="B1898" i="15"/>
  <c r="B1897" i="15"/>
  <c r="B1896" i="15"/>
  <c r="B1895" i="15"/>
  <c r="B1894" i="15"/>
  <c r="B1893" i="15"/>
  <c r="B1892" i="15"/>
  <c r="B1891" i="15"/>
  <c r="B1890" i="15"/>
  <c r="B1889" i="15"/>
  <c r="B1888" i="15"/>
  <c r="B1887" i="15"/>
  <c r="B1886" i="15"/>
  <c r="B1885" i="15"/>
  <c r="B1884" i="15"/>
  <c r="B1883" i="15"/>
  <c r="B1882" i="15"/>
  <c r="B1881" i="15"/>
  <c r="B1880" i="15"/>
  <c r="B1879" i="15"/>
  <c r="B1878" i="15"/>
  <c r="B1877" i="15"/>
  <c r="B1876" i="15"/>
  <c r="B1875" i="15"/>
  <c r="B1874" i="15"/>
  <c r="B1873" i="15"/>
  <c r="B1872" i="15"/>
  <c r="B1871" i="15"/>
  <c r="B1870" i="15"/>
  <c r="B1869" i="15"/>
  <c r="B1868" i="15"/>
  <c r="B1867" i="15"/>
  <c r="B1866" i="15"/>
  <c r="B1865" i="15"/>
  <c r="B1864" i="15"/>
  <c r="B1863" i="15"/>
  <c r="B1862" i="15"/>
  <c r="B1861" i="15"/>
  <c r="B1860" i="15"/>
  <c r="B1859" i="15"/>
  <c r="B1858" i="15"/>
  <c r="B1857" i="15"/>
  <c r="B1856" i="15"/>
  <c r="B1855" i="15"/>
  <c r="B1854" i="15"/>
  <c r="B1853" i="15"/>
  <c r="B1852" i="15"/>
  <c r="B1851" i="15"/>
  <c r="B1850" i="15"/>
  <c r="B1849" i="15"/>
  <c r="B1848" i="15"/>
  <c r="B1847" i="15"/>
  <c r="B1846" i="15"/>
  <c r="B1845" i="15"/>
  <c r="B1844" i="15"/>
  <c r="B1843" i="15"/>
  <c r="B1842" i="15"/>
  <c r="B1841" i="15"/>
  <c r="B1840" i="15"/>
  <c r="B1839" i="15"/>
  <c r="B1838" i="15"/>
  <c r="B1837" i="15"/>
  <c r="B1836" i="15"/>
  <c r="B1835" i="15"/>
  <c r="B1834" i="15"/>
  <c r="B1833" i="15"/>
  <c r="B1832" i="15"/>
  <c r="B1831" i="15"/>
  <c r="B1830" i="15"/>
  <c r="B1829" i="15"/>
  <c r="B1828" i="15"/>
  <c r="B1827" i="15"/>
  <c r="B1826" i="15"/>
  <c r="B1825" i="15"/>
  <c r="B1824" i="15"/>
  <c r="B1823" i="15"/>
  <c r="B1822" i="15"/>
  <c r="B1821" i="15"/>
  <c r="B1820" i="15"/>
  <c r="B1819" i="15"/>
  <c r="B1818" i="15"/>
  <c r="B1817" i="15"/>
  <c r="B1816" i="15"/>
  <c r="B1815" i="15"/>
  <c r="B1814" i="15"/>
  <c r="B1813" i="15"/>
  <c r="B1812" i="15"/>
  <c r="B1811" i="15"/>
  <c r="B1810" i="15"/>
  <c r="B1809" i="15"/>
  <c r="B1808" i="15"/>
  <c r="B1807" i="15"/>
  <c r="B1806" i="15"/>
  <c r="B1805" i="15"/>
  <c r="B1804" i="15"/>
  <c r="B1803" i="15"/>
  <c r="B1802" i="15"/>
  <c r="B1801" i="15"/>
  <c r="B1800" i="15"/>
  <c r="B1799" i="15"/>
  <c r="B1798" i="15"/>
  <c r="B1797" i="15"/>
  <c r="B1796" i="15"/>
  <c r="B1795" i="15"/>
  <c r="B1794" i="15"/>
  <c r="B1793" i="15"/>
  <c r="B1792" i="15"/>
  <c r="B1791" i="15"/>
  <c r="B1790" i="15"/>
  <c r="B1789" i="15"/>
  <c r="B1788" i="15"/>
  <c r="B1787" i="15"/>
  <c r="B1786" i="15"/>
  <c r="B1785" i="15"/>
  <c r="B1784" i="15"/>
  <c r="B1783" i="15"/>
  <c r="B1782" i="15"/>
  <c r="B1781" i="15"/>
  <c r="B1780" i="15"/>
  <c r="B1779" i="15"/>
  <c r="B1778" i="15"/>
  <c r="B1777" i="15"/>
  <c r="B1776" i="15"/>
  <c r="B1775" i="15"/>
  <c r="B1774" i="15"/>
  <c r="B1773" i="15"/>
  <c r="B1772" i="15"/>
  <c r="B1771" i="15"/>
  <c r="B1770" i="15"/>
  <c r="B1769" i="15"/>
  <c r="B1768" i="15"/>
  <c r="B1767" i="15"/>
  <c r="B1766" i="15"/>
  <c r="B1765" i="15"/>
  <c r="B1764" i="15"/>
  <c r="B1763" i="15"/>
  <c r="B1762" i="15"/>
  <c r="B1761" i="15"/>
  <c r="B1760" i="15"/>
  <c r="B1759" i="15"/>
  <c r="B1758" i="15"/>
  <c r="B1757" i="15"/>
  <c r="B1756" i="15"/>
  <c r="B1755" i="15"/>
  <c r="B1754" i="15"/>
  <c r="B1753" i="15"/>
  <c r="B1752" i="15"/>
  <c r="B1751" i="15"/>
  <c r="B1750" i="15"/>
  <c r="B1749" i="15"/>
  <c r="B1748" i="15"/>
  <c r="B1747" i="15"/>
  <c r="B1746" i="15"/>
  <c r="B1745" i="15"/>
  <c r="B1744" i="15"/>
  <c r="B1743" i="15"/>
  <c r="B1742" i="15"/>
  <c r="B1741" i="15"/>
  <c r="B1740" i="15"/>
  <c r="B1739" i="15"/>
  <c r="B1738" i="15"/>
  <c r="B1737" i="15"/>
  <c r="B1736" i="15"/>
  <c r="B1735" i="15"/>
  <c r="B1734" i="15"/>
  <c r="B1733" i="15"/>
  <c r="B1732" i="15"/>
  <c r="B1731" i="15"/>
  <c r="B1730" i="15"/>
  <c r="B1729" i="15"/>
  <c r="B1728" i="15"/>
  <c r="B1727" i="15"/>
  <c r="B1726" i="15"/>
  <c r="B1725" i="15"/>
  <c r="B1724" i="15"/>
  <c r="B1723" i="15"/>
  <c r="B1722" i="15"/>
  <c r="B1721" i="15"/>
  <c r="B1720" i="15"/>
  <c r="B1719" i="15"/>
  <c r="B1718" i="15"/>
  <c r="B1717" i="15"/>
  <c r="B1716" i="15"/>
  <c r="B1715" i="15"/>
  <c r="B1714" i="15"/>
  <c r="B1713" i="15"/>
  <c r="B1712" i="15"/>
  <c r="B1711" i="15"/>
  <c r="B1710" i="15"/>
  <c r="B1709" i="15"/>
  <c r="B1708" i="15"/>
  <c r="B1707" i="15"/>
  <c r="B1706" i="15"/>
  <c r="B1705" i="15"/>
  <c r="B1704" i="15"/>
  <c r="B1703" i="15"/>
  <c r="B1702" i="15"/>
  <c r="B1701" i="15"/>
  <c r="B1700" i="15"/>
  <c r="B1699" i="15"/>
  <c r="B1698" i="15"/>
  <c r="B1697" i="15"/>
  <c r="B1696" i="15"/>
  <c r="B1695" i="15"/>
  <c r="B1694" i="15"/>
  <c r="B1693" i="15"/>
  <c r="B1692" i="15"/>
  <c r="B1691" i="15"/>
  <c r="B1690" i="15"/>
  <c r="B1689" i="15"/>
  <c r="B1688" i="15"/>
  <c r="B1687" i="15"/>
  <c r="B1686" i="15"/>
  <c r="B1685" i="15"/>
  <c r="B1684" i="15"/>
  <c r="B1683" i="15"/>
  <c r="B1682" i="15"/>
  <c r="B1681" i="15"/>
  <c r="B1680" i="15"/>
  <c r="B1679" i="15"/>
  <c r="B1678" i="15"/>
  <c r="B1677" i="15"/>
  <c r="B1676" i="15"/>
  <c r="B1675" i="15"/>
  <c r="B1674" i="15"/>
  <c r="B1673" i="15"/>
  <c r="B1672" i="15"/>
  <c r="B1671" i="15"/>
  <c r="B1670" i="15"/>
  <c r="B1669" i="15"/>
  <c r="B1668" i="15"/>
  <c r="B1667" i="15"/>
  <c r="B1666" i="15"/>
  <c r="B1665" i="15"/>
  <c r="B1664" i="15"/>
  <c r="B1663" i="15"/>
  <c r="B1662" i="15"/>
  <c r="B1661" i="15"/>
  <c r="B1660" i="15"/>
  <c r="B1659" i="15"/>
  <c r="B1658" i="15"/>
  <c r="B1657" i="15"/>
  <c r="B1656" i="15"/>
  <c r="B1655" i="15"/>
  <c r="B1654" i="15"/>
  <c r="B1653" i="15"/>
  <c r="B1652" i="15"/>
  <c r="B1651" i="15"/>
  <c r="B1650" i="15"/>
  <c r="B1649" i="15"/>
  <c r="B1648" i="15"/>
  <c r="B1647" i="15"/>
  <c r="B1646" i="15"/>
  <c r="B1645" i="15"/>
  <c r="B1644" i="15"/>
  <c r="B1643" i="15"/>
  <c r="B1642" i="15"/>
  <c r="B1641" i="15"/>
  <c r="B1640" i="15"/>
  <c r="B1639" i="15"/>
  <c r="B1638" i="15"/>
  <c r="B1637" i="15"/>
  <c r="B1636" i="15"/>
  <c r="B1635" i="15"/>
  <c r="B1634" i="15"/>
  <c r="B1633" i="15"/>
  <c r="B1632" i="15"/>
  <c r="B1631" i="15"/>
  <c r="B1630" i="15"/>
  <c r="B1629" i="15"/>
  <c r="B1628" i="15"/>
  <c r="B1627" i="15"/>
  <c r="B1626" i="15"/>
  <c r="B1625" i="15"/>
  <c r="B1624" i="15"/>
  <c r="B1623" i="15"/>
  <c r="B1622" i="15"/>
  <c r="B1621" i="15"/>
  <c r="B1620" i="15"/>
  <c r="B1619" i="15"/>
  <c r="B1618" i="15"/>
  <c r="B1617" i="15"/>
  <c r="B1616" i="15"/>
  <c r="B1615" i="15"/>
  <c r="B1614" i="15"/>
  <c r="B1613" i="15"/>
  <c r="B1612" i="15"/>
  <c r="B1611" i="15"/>
  <c r="B1610" i="15"/>
  <c r="B1609" i="15"/>
  <c r="B1608" i="15"/>
  <c r="B1607" i="15"/>
  <c r="B1606" i="15"/>
  <c r="B1605" i="15"/>
  <c r="B1604" i="15"/>
  <c r="B1603" i="15"/>
  <c r="B1602" i="15"/>
  <c r="B1601" i="15"/>
  <c r="B1600" i="15"/>
  <c r="B1599" i="15"/>
  <c r="B1598" i="15"/>
  <c r="B1597" i="15"/>
  <c r="B1596" i="15"/>
  <c r="B1595" i="15"/>
  <c r="B1594" i="15"/>
  <c r="B1593" i="15"/>
  <c r="B1592" i="15"/>
  <c r="B1591" i="15"/>
  <c r="B1590" i="15"/>
  <c r="B1589" i="15"/>
  <c r="B1588" i="15"/>
  <c r="B1587" i="15"/>
  <c r="B1586" i="15"/>
  <c r="B1585" i="15"/>
  <c r="B1584" i="15"/>
  <c r="B1583" i="15"/>
  <c r="B1582" i="15"/>
  <c r="B1581" i="15"/>
  <c r="B1580" i="15"/>
  <c r="B1579" i="15"/>
  <c r="B1578" i="15"/>
  <c r="B1577" i="15"/>
  <c r="B1576" i="15"/>
  <c r="B1575" i="15"/>
  <c r="B1574" i="15"/>
  <c r="B1573" i="15"/>
  <c r="B1572" i="15"/>
  <c r="B1571" i="15"/>
  <c r="B1570" i="15"/>
  <c r="B1569" i="15"/>
  <c r="B1568" i="15"/>
  <c r="B1567" i="15"/>
  <c r="B1566" i="15"/>
  <c r="B1565" i="15"/>
  <c r="B1564" i="15"/>
  <c r="B1563" i="15"/>
  <c r="B1562" i="15"/>
  <c r="B1561" i="15"/>
  <c r="B1560" i="15"/>
  <c r="B1559" i="15"/>
  <c r="B1558" i="15"/>
  <c r="B1557" i="15"/>
  <c r="B1556" i="15"/>
  <c r="B1555" i="15"/>
  <c r="B1554" i="15"/>
  <c r="B1553" i="15"/>
  <c r="B1552" i="15"/>
  <c r="B1551" i="15"/>
  <c r="B1550" i="15"/>
  <c r="B1549" i="15"/>
  <c r="B1548" i="15"/>
  <c r="B1547" i="15"/>
  <c r="B1546" i="15"/>
  <c r="B1545" i="15"/>
  <c r="B1544" i="15"/>
  <c r="B1543" i="15"/>
  <c r="B1542" i="15"/>
  <c r="B1541" i="15"/>
  <c r="B1540" i="15"/>
  <c r="B1539" i="15"/>
  <c r="B1538" i="15"/>
  <c r="B1537" i="15"/>
  <c r="B1536" i="15"/>
  <c r="B1535" i="15"/>
  <c r="B1534" i="15"/>
  <c r="B1533" i="15"/>
  <c r="B1532" i="15"/>
  <c r="B1531" i="15"/>
  <c r="B1530" i="15"/>
  <c r="B1529" i="15"/>
  <c r="B1528" i="15"/>
  <c r="B1527" i="15"/>
  <c r="B1526" i="15"/>
  <c r="B1525" i="15"/>
  <c r="B1524" i="15"/>
  <c r="B1523" i="15"/>
  <c r="B1522" i="15"/>
  <c r="B1521" i="15"/>
  <c r="B1520" i="15"/>
  <c r="B1519" i="15"/>
  <c r="B1518" i="15"/>
  <c r="B1517" i="15"/>
  <c r="B1516" i="15"/>
  <c r="B1515" i="15"/>
  <c r="B1514" i="15"/>
  <c r="B1513" i="15"/>
  <c r="B1512" i="15"/>
  <c r="B1511" i="15"/>
  <c r="B1510" i="15"/>
  <c r="B1509" i="15"/>
  <c r="B1508" i="15"/>
  <c r="B1507" i="15"/>
  <c r="B1506" i="15"/>
  <c r="B1505" i="15"/>
  <c r="B1504" i="15"/>
  <c r="B1503" i="15"/>
  <c r="B1502" i="15"/>
  <c r="B1501" i="15"/>
  <c r="B1500" i="15"/>
  <c r="B1499" i="15"/>
  <c r="B1498" i="15"/>
  <c r="B1497" i="15"/>
  <c r="B1496" i="15"/>
  <c r="B1495" i="15"/>
  <c r="B1494" i="15"/>
  <c r="B1493" i="15"/>
  <c r="B1492" i="15"/>
  <c r="B1491" i="15"/>
  <c r="B1490" i="15"/>
  <c r="B1489" i="15"/>
  <c r="B1488" i="15"/>
  <c r="B1487" i="15"/>
  <c r="B1486" i="15"/>
  <c r="B1485" i="15"/>
  <c r="B1484" i="15"/>
  <c r="B1483" i="15"/>
  <c r="B1482" i="15"/>
  <c r="B1481" i="15"/>
  <c r="B1480" i="15"/>
  <c r="B1479" i="15"/>
  <c r="B1478" i="15"/>
  <c r="B1477" i="15"/>
  <c r="B1476" i="15"/>
  <c r="B1475" i="15"/>
  <c r="B1474" i="15"/>
  <c r="B1473" i="15"/>
  <c r="B1472" i="15"/>
  <c r="B1471" i="15"/>
  <c r="B1470" i="15"/>
  <c r="B1469" i="15"/>
  <c r="B1468" i="15"/>
  <c r="B1467" i="15"/>
  <c r="B1466" i="15"/>
  <c r="B1465" i="15"/>
  <c r="B1464" i="15"/>
  <c r="B1463" i="15"/>
  <c r="B1462" i="15"/>
  <c r="B1461" i="15"/>
  <c r="B1460" i="15"/>
  <c r="B1459" i="15"/>
  <c r="B1458" i="15"/>
  <c r="B1457" i="15"/>
  <c r="B1456" i="15"/>
  <c r="B1455" i="15"/>
  <c r="B1454" i="15"/>
  <c r="B1453" i="15"/>
  <c r="B1452" i="15"/>
  <c r="B1451" i="15"/>
  <c r="B1450" i="15"/>
  <c r="B1449" i="15"/>
  <c r="B1448" i="15"/>
  <c r="B1447" i="15"/>
  <c r="B1446" i="15"/>
  <c r="B1445" i="15"/>
  <c r="B1444" i="15"/>
  <c r="B1443" i="15"/>
  <c r="B1442" i="15"/>
  <c r="B1441" i="15"/>
  <c r="B1440" i="15"/>
  <c r="B1439" i="15"/>
  <c r="B1438" i="15"/>
  <c r="B1437" i="15"/>
  <c r="B1436" i="15"/>
  <c r="B1435" i="15"/>
  <c r="B1434" i="15"/>
  <c r="B1433" i="15"/>
  <c r="B1432" i="15"/>
  <c r="B1431" i="15"/>
  <c r="B1430" i="15"/>
  <c r="B1429" i="15"/>
  <c r="B1428" i="15"/>
  <c r="B1427" i="15"/>
  <c r="B1426" i="15"/>
  <c r="B1425" i="15"/>
  <c r="B1424" i="15"/>
  <c r="B1423" i="15"/>
  <c r="B1422" i="15"/>
  <c r="B1421" i="15"/>
  <c r="B1420" i="15"/>
  <c r="B1419" i="15"/>
  <c r="B1418" i="15"/>
  <c r="B1417" i="15"/>
  <c r="B1416" i="15"/>
  <c r="B1415" i="15"/>
  <c r="B1414" i="15"/>
  <c r="B1413" i="15"/>
  <c r="B1412" i="15"/>
  <c r="B1411" i="15"/>
  <c r="B1410" i="15"/>
  <c r="B1409" i="15"/>
  <c r="B1408" i="15"/>
  <c r="B1407" i="15"/>
  <c r="B1406" i="15"/>
  <c r="B1405" i="15"/>
  <c r="B1404" i="15"/>
  <c r="B1403" i="15"/>
  <c r="B1402" i="15"/>
  <c r="B1401" i="15"/>
  <c r="B1400" i="15"/>
  <c r="B1399" i="15"/>
  <c r="B1398" i="15"/>
  <c r="B1397" i="15"/>
  <c r="B1396" i="15"/>
  <c r="B1395" i="15"/>
  <c r="B1394" i="15"/>
  <c r="B1393" i="15"/>
  <c r="B1392" i="15"/>
  <c r="B1391" i="15"/>
  <c r="B1390" i="15"/>
  <c r="B1389" i="15"/>
  <c r="B1388" i="15"/>
  <c r="B1387" i="15"/>
  <c r="B1386" i="15"/>
  <c r="B1385" i="15"/>
  <c r="B1384" i="15"/>
  <c r="B1383" i="15"/>
  <c r="B1382" i="15"/>
  <c r="B1381" i="15"/>
  <c r="B1380" i="15"/>
  <c r="B1379" i="15"/>
  <c r="B1378" i="15"/>
  <c r="B1377" i="15"/>
  <c r="B1376" i="15"/>
  <c r="B1375" i="15"/>
  <c r="B1374" i="15"/>
  <c r="B1373" i="15"/>
  <c r="B1372" i="15"/>
  <c r="B1371" i="15"/>
  <c r="B1370" i="15"/>
  <c r="B1369" i="15"/>
  <c r="B1368" i="15"/>
  <c r="B1367" i="15"/>
  <c r="B1366" i="15"/>
  <c r="B1365" i="15"/>
  <c r="B1364" i="15"/>
  <c r="B1363" i="15"/>
  <c r="B1362" i="15"/>
  <c r="B1361" i="15"/>
  <c r="B1360" i="15"/>
  <c r="B1359" i="15"/>
  <c r="B1358" i="15"/>
  <c r="B1357" i="15"/>
  <c r="B1356" i="15"/>
  <c r="B1355" i="15"/>
  <c r="B1354" i="15"/>
  <c r="B1353" i="15"/>
  <c r="B1352" i="15"/>
  <c r="B1351" i="15"/>
  <c r="B1350" i="15"/>
  <c r="B1349" i="15"/>
  <c r="B1348" i="15"/>
  <c r="B1347" i="15"/>
  <c r="B1346" i="15"/>
  <c r="B1345" i="15"/>
  <c r="B1344" i="15"/>
  <c r="B1343" i="15"/>
  <c r="B1342" i="15"/>
  <c r="B1341" i="15"/>
  <c r="B1340" i="15"/>
  <c r="B1339" i="15"/>
  <c r="B1338" i="15"/>
  <c r="B1337" i="15"/>
  <c r="B1336" i="15"/>
  <c r="B1335" i="15"/>
  <c r="B1334" i="15"/>
  <c r="B1333" i="15"/>
  <c r="B1332" i="15"/>
  <c r="B1331" i="15"/>
  <c r="B1330" i="15"/>
  <c r="B1329" i="15"/>
  <c r="B1328" i="15"/>
  <c r="B1327" i="15"/>
  <c r="B1326" i="15"/>
  <c r="B1325" i="15"/>
  <c r="B1324" i="15"/>
  <c r="B1323" i="15"/>
  <c r="B1322" i="15"/>
  <c r="B1321" i="15"/>
  <c r="B1320" i="15"/>
  <c r="B1319" i="15"/>
  <c r="B1318" i="15"/>
  <c r="B1317" i="15"/>
  <c r="B1316" i="15"/>
  <c r="B1315" i="15"/>
  <c r="B1314" i="15"/>
  <c r="B1313" i="15"/>
  <c r="B1312" i="15"/>
  <c r="B1311" i="15"/>
  <c r="B1310" i="15"/>
  <c r="B1309" i="15"/>
  <c r="B1308" i="15"/>
  <c r="B1307" i="15"/>
  <c r="B1306" i="15"/>
  <c r="B1305" i="15"/>
  <c r="B1304" i="15"/>
  <c r="B1303" i="15"/>
  <c r="B1302" i="15"/>
  <c r="B1301" i="15"/>
  <c r="B1300" i="15"/>
  <c r="B1299" i="15"/>
  <c r="B1298" i="15"/>
  <c r="B1297" i="15"/>
  <c r="B1296" i="15"/>
  <c r="B1295" i="15"/>
  <c r="B1294" i="15"/>
  <c r="B1293" i="15"/>
  <c r="B1292" i="15"/>
  <c r="B1291" i="15"/>
  <c r="B1290" i="15"/>
  <c r="B1289" i="15"/>
  <c r="B1288" i="15"/>
  <c r="B1287" i="15"/>
  <c r="B1286" i="15"/>
  <c r="B1285" i="15"/>
  <c r="B1284" i="15"/>
  <c r="B1283" i="15"/>
  <c r="B1282" i="15"/>
  <c r="B1281" i="15"/>
  <c r="B1280" i="15"/>
  <c r="B1279" i="15"/>
  <c r="B1278" i="15"/>
  <c r="B1277" i="15"/>
  <c r="B1276" i="15"/>
  <c r="B1275" i="15"/>
  <c r="B1274" i="15"/>
  <c r="B1273" i="15"/>
  <c r="B1272" i="15"/>
  <c r="B1271" i="15"/>
  <c r="B1270" i="15"/>
  <c r="B1269" i="15"/>
  <c r="B1268" i="15"/>
  <c r="B1267" i="15"/>
  <c r="B1266" i="15"/>
  <c r="B1265" i="15"/>
  <c r="B1264" i="15"/>
  <c r="B1263" i="15"/>
  <c r="B1262" i="15"/>
  <c r="B1261" i="15"/>
  <c r="B1260" i="15"/>
  <c r="B1259" i="15"/>
  <c r="B1258" i="15"/>
  <c r="B1257" i="15"/>
  <c r="B1256" i="15"/>
  <c r="B1255" i="15"/>
  <c r="B1254" i="15"/>
  <c r="B1253" i="15"/>
  <c r="B1252" i="15"/>
  <c r="B1251" i="15"/>
  <c r="B1250" i="15"/>
  <c r="B1249" i="15"/>
  <c r="B1248" i="15"/>
  <c r="B1247" i="15"/>
  <c r="B1246" i="15"/>
  <c r="B1245" i="15"/>
  <c r="B1244" i="15"/>
  <c r="B1243" i="15"/>
  <c r="B1242" i="15"/>
  <c r="B1241" i="15"/>
  <c r="B1240" i="15"/>
  <c r="B1239" i="15"/>
  <c r="B1238" i="15"/>
  <c r="B1237" i="15"/>
  <c r="B1236" i="15"/>
  <c r="B1235" i="15"/>
  <c r="B1234" i="15"/>
  <c r="B1233" i="15"/>
  <c r="B1232" i="15"/>
  <c r="B1231" i="15"/>
  <c r="B1230" i="15"/>
  <c r="B1229" i="15"/>
  <c r="B1228" i="15"/>
  <c r="B1227" i="15"/>
  <c r="B1226" i="15"/>
  <c r="B1225" i="15"/>
  <c r="B1224" i="15"/>
  <c r="B1223" i="15"/>
  <c r="B1222" i="15"/>
  <c r="B1221" i="15"/>
  <c r="B1220" i="15"/>
  <c r="B1219" i="15"/>
  <c r="B1218" i="15"/>
  <c r="B1217" i="15"/>
  <c r="B1216" i="15"/>
  <c r="B1215" i="15"/>
  <c r="B1214" i="15"/>
  <c r="B1213" i="15"/>
  <c r="B1212" i="15"/>
  <c r="B1211" i="15"/>
  <c r="B1210" i="15"/>
  <c r="B1209" i="15"/>
  <c r="B1208" i="15"/>
  <c r="B1207" i="15"/>
  <c r="B1206" i="15"/>
  <c r="B1205" i="15"/>
  <c r="B1204" i="15"/>
  <c r="B1203" i="15"/>
  <c r="B1202" i="15"/>
  <c r="B1201" i="15"/>
  <c r="B1200" i="15"/>
  <c r="B1199" i="15"/>
  <c r="B1198" i="15"/>
  <c r="B1197" i="15"/>
  <c r="B1196" i="15"/>
  <c r="B1195" i="15"/>
  <c r="B1194" i="15"/>
  <c r="B1193" i="15"/>
  <c r="B1192" i="15"/>
  <c r="B1191" i="15"/>
  <c r="B1190" i="15"/>
  <c r="B1189" i="15"/>
  <c r="B1188" i="15"/>
  <c r="B1187" i="15"/>
  <c r="B1186" i="15"/>
  <c r="B1185" i="15"/>
  <c r="B1184" i="15"/>
  <c r="B1183" i="15"/>
  <c r="B1182" i="15"/>
  <c r="B1181" i="15"/>
  <c r="B1180" i="15"/>
  <c r="B1179" i="15"/>
  <c r="B1178" i="15"/>
  <c r="B1177" i="15"/>
  <c r="B1176" i="15"/>
  <c r="B1175" i="15"/>
  <c r="B1174" i="15"/>
  <c r="B1173" i="15"/>
  <c r="B1172" i="15"/>
  <c r="B1171" i="15"/>
  <c r="B1170" i="15"/>
  <c r="B1169" i="15"/>
  <c r="B1168" i="15"/>
  <c r="B1167" i="15"/>
  <c r="B1166" i="15"/>
  <c r="B1165" i="15"/>
  <c r="B1164" i="15"/>
  <c r="B1163" i="15"/>
  <c r="B1162" i="15"/>
  <c r="B1161" i="15"/>
  <c r="B1160" i="15"/>
  <c r="B1159" i="15"/>
  <c r="B1158" i="15"/>
  <c r="B1157" i="15"/>
  <c r="B1156" i="15"/>
  <c r="B1155" i="15"/>
  <c r="B1154" i="15"/>
  <c r="B1153" i="15"/>
  <c r="B1152" i="15"/>
  <c r="B1151" i="15"/>
  <c r="B1150" i="15"/>
  <c r="B1149" i="15"/>
  <c r="B1148" i="15"/>
  <c r="B1147" i="15"/>
  <c r="B1146" i="15"/>
  <c r="B1145" i="15"/>
  <c r="B1144" i="15"/>
  <c r="B1143" i="15"/>
  <c r="B1142" i="15"/>
  <c r="B1141" i="15"/>
  <c r="B1140" i="15"/>
  <c r="B1139" i="15"/>
  <c r="B1138" i="15"/>
  <c r="B1137" i="15"/>
  <c r="B1136" i="15"/>
  <c r="B1135" i="15"/>
  <c r="B1134" i="15"/>
  <c r="B1133" i="15"/>
  <c r="B1132" i="15"/>
  <c r="B1131" i="15"/>
  <c r="B1130" i="15"/>
  <c r="B1129" i="15"/>
  <c r="B1128" i="15"/>
  <c r="B1127" i="15"/>
  <c r="B1126" i="15"/>
  <c r="B1125" i="15"/>
  <c r="B1124" i="15"/>
  <c r="B1123" i="15"/>
  <c r="B1122" i="15"/>
  <c r="B1121" i="15"/>
  <c r="B1120" i="15"/>
  <c r="B1119" i="15"/>
  <c r="B1118" i="15"/>
  <c r="B1117" i="15"/>
  <c r="B1116" i="15"/>
  <c r="B1115" i="15"/>
  <c r="B1114" i="15"/>
  <c r="B1113" i="15"/>
  <c r="B1112" i="15"/>
  <c r="B1111" i="15"/>
  <c r="B1110" i="15"/>
  <c r="B1109" i="15"/>
  <c r="B1108" i="15"/>
  <c r="B1107" i="15"/>
  <c r="B1106" i="15"/>
  <c r="B1105" i="15"/>
  <c r="B1104" i="15"/>
  <c r="B1103" i="15"/>
  <c r="B1102" i="15"/>
  <c r="B1101" i="15"/>
  <c r="B1100" i="15"/>
  <c r="B1099" i="15"/>
  <c r="B1098" i="15"/>
  <c r="B1097" i="15"/>
  <c r="B1096" i="15"/>
  <c r="B1095" i="15"/>
  <c r="B1094" i="15"/>
  <c r="B1093" i="15"/>
  <c r="B1092" i="15"/>
  <c r="B1091" i="15"/>
  <c r="B1090" i="15"/>
  <c r="B1089" i="15"/>
  <c r="B1088" i="15"/>
  <c r="B1087" i="15"/>
  <c r="B1086" i="15"/>
  <c r="B1085" i="15"/>
  <c r="B1084" i="15"/>
  <c r="B1083" i="15"/>
  <c r="B1082" i="15"/>
  <c r="B1081" i="15"/>
  <c r="B1080" i="15"/>
  <c r="B1079" i="15"/>
  <c r="B1078" i="15"/>
  <c r="B1077" i="15"/>
  <c r="B1076" i="15"/>
  <c r="B1075" i="15"/>
  <c r="B1074" i="15"/>
  <c r="B1073" i="15"/>
  <c r="B1072" i="15"/>
  <c r="B1071" i="15"/>
  <c r="B1070" i="15"/>
  <c r="B1069" i="15"/>
  <c r="B1068" i="15"/>
  <c r="B1067" i="15"/>
  <c r="B1066" i="15"/>
  <c r="B1065" i="15"/>
  <c r="B1064" i="15"/>
  <c r="B1063" i="15"/>
  <c r="B1062" i="15"/>
  <c r="B1061" i="15"/>
  <c r="B1060" i="15"/>
  <c r="B1059" i="15"/>
  <c r="B1058" i="15"/>
  <c r="B1057" i="15"/>
  <c r="B1056" i="15"/>
  <c r="B1055" i="15"/>
  <c r="B1054" i="15"/>
  <c r="B1053" i="15"/>
  <c r="B1052" i="15"/>
  <c r="B1051" i="15"/>
  <c r="B1050" i="15"/>
  <c r="B1049" i="15"/>
  <c r="B1048" i="15"/>
  <c r="B1047" i="15"/>
  <c r="B1046" i="15"/>
  <c r="B1045" i="15"/>
  <c r="B1044" i="15"/>
  <c r="B1043" i="15"/>
  <c r="B1042" i="15"/>
  <c r="B1041" i="15"/>
  <c r="B1040" i="15"/>
  <c r="B1039" i="15"/>
  <c r="B1038" i="15"/>
  <c r="B1037" i="15"/>
  <c r="B1036" i="15"/>
  <c r="B1035" i="15"/>
  <c r="B1034" i="15"/>
  <c r="B1033" i="15"/>
  <c r="B1032" i="15"/>
  <c r="B1031" i="15"/>
  <c r="B1030" i="15"/>
  <c r="B1029" i="15"/>
  <c r="B1028" i="15"/>
  <c r="B1027" i="15"/>
  <c r="B1026" i="15"/>
  <c r="B1025" i="15"/>
  <c r="B1024" i="15"/>
  <c r="B1023" i="15"/>
  <c r="B1022" i="15"/>
  <c r="B1021" i="15"/>
  <c r="B1020" i="15"/>
  <c r="B1019" i="15"/>
  <c r="B1018" i="15"/>
  <c r="B1017" i="15"/>
  <c r="B1016" i="15"/>
  <c r="B1015" i="15"/>
  <c r="B1014" i="15"/>
  <c r="B1013" i="15"/>
  <c r="B1012" i="15"/>
  <c r="B1011" i="15"/>
  <c r="B1010" i="15"/>
  <c r="B1009" i="15"/>
  <c r="B1008" i="15"/>
  <c r="B1007" i="15"/>
  <c r="B1006" i="15"/>
  <c r="B1005" i="15"/>
  <c r="B1004" i="15"/>
  <c r="B1003" i="15"/>
  <c r="B1002" i="15"/>
  <c r="B1001" i="15"/>
  <c r="B1000" i="15"/>
  <c r="B999" i="15"/>
  <c r="B998" i="15"/>
  <c r="B997" i="15"/>
  <c r="B996" i="15"/>
  <c r="B995" i="15"/>
  <c r="B994" i="15"/>
  <c r="B993" i="15"/>
  <c r="B992" i="15"/>
  <c r="B991" i="15"/>
  <c r="B990" i="15"/>
  <c r="B989" i="15"/>
  <c r="B988" i="15"/>
  <c r="B987" i="15"/>
  <c r="B986" i="15"/>
  <c r="B985" i="15"/>
  <c r="B984" i="15"/>
  <c r="B983" i="15"/>
  <c r="B982" i="15"/>
  <c r="B981" i="15"/>
  <c r="B980" i="15"/>
  <c r="B979" i="15"/>
  <c r="B978" i="15"/>
  <c r="B977" i="15"/>
  <c r="B976" i="15"/>
  <c r="B975" i="15"/>
  <c r="B974" i="15"/>
  <c r="B973" i="15"/>
  <c r="B972" i="15"/>
  <c r="B971" i="15"/>
  <c r="B970" i="15"/>
  <c r="B969" i="15"/>
  <c r="B968" i="15"/>
  <c r="B967" i="15"/>
  <c r="B966" i="15"/>
  <c r="B965" i="15"/>
  <c r="B964" i="15"/>
  <c r="B963" i="15"/>
  <c r="B962" i="15"/>
  <c r="B961" i="15"/>
  <c r="B960" i="15"/>
  <c r="B959" i="15"/>
  <c r="B958" i="15"/>
  <c r="B957" i="15"/>
  <c r="B956" i="15"/>
  <c r="B955" i="15"/>
  <c r="B954" i="15"/>
  <c r="B953" i="15"/>
  <c r="B952" i="15"/>
  <c r="B951" i="15"/>
  <c r="B950" i="15"/>
  <c r="B949" i="15"/>
  <c r="B948" i="15"/>
  <c r="B947" i="15"/>
  <c r="B946" i="15"/>
  <c r="B945" i="15"/>
  <c r="B944" i="15"/>
  <c r="B943" i="15"/>
  <c r="B942" i="15"/>
  <c r="B941" i="15"/>
  <c r="B940" i="15"/>
  <c r="B939" i="15"/>
  <c r="B938" i="15"/>
  <c r="B937" i="15"/>
  <c r="B936" i="15"/>
  <c r="B935" i="15"/>
  <c r="B934" i="15"/>
  <c r="B933" i="15"/>
  <c r="B932" i="15"/>
  <c r="B931" i="15"/>
  <c r="B930" i="15"/>
  <c r="B929" i="15"/>
  <c r="B928" i="15"/>
  <c r="B927" i="15"/>
  <c r="B926" i="15"/>
  <c r="B925" i="15"/>
  <c r="B924" i="15"/>
  <c r="B923" i="15"/>
  <c r="B922" i="15"/>
  <c r="B921" i="15"/>
  <c r="B920" i="15"/>
  <c r="B919" i="15"/>
  <c r="B918" i="15"/>
  <c r="B917" i="15"/>
  <c r="B916" i="15"/>
  <c r="B915" i="15"/>
  <c r="B914" i="15"/>
  <c r="B913" i="15"/>
  <c r="B912" i="15"/>
  <c r="B911" i="15"/>
  <c r="B910" i="15"/>
  <c r="B909" i="15"/>
  <c r="B908" i="15"/>
  <c r="B907" i="15"/>
  <c r="B906" i="15"/>
  <c r="B905" i="15"/>
  <c r="B904" i="15"/>
  <c r="B903" i="15"/>
  <c r="B902" i="15"/>
  <c r="B901" i="15"/>
  <c r="B900" i="15"/>
  <c r="B899" i="15"/>
  <c r="B898" i="15"/>
  <c r="B897" i="15"/>
  <c r="B896" i="15"/>
  <c r="B895" i="15"/>
  <c r="B894" i="15"/>
  <c r="B893" i="15"/>
  <c r="B892" i="15"/>
  <c r="B891" i="15"/>
  <c r="B890" i="15"/>
  <c r="B889" i="15"/>
  <c r="B888" i="15"/>
  <c r="B887" i="15"/>
  <c r="B886" i="15"/>
  <c r="B885" i="15"/>
  <c r="B884" i="15"/>
  <c r="B883" i="15"/>
  <c r="B882" i="15"/>
  <c r="B881" i="15"/>
  <c r="B880" i="15"/>
  <c r="B879" i="15"/>
  <c r="B878" i="15"/>
  <c r="B877" i="15"/>
  <c r="B876" i="15"/>
  <c r="B875" i="15"/>
  <c r="B874" i="15"/>
  <c r="B873" i="15"/>
  <c r="B872" i="15"/>
  <c r="B871" i="15"/>
  <c r="B870" i="15"/>
  <c r="B869" i="15"/>
  <c r="B868" i="15"/>
  <c r="B867" i="15"/>
  <c r="B866" i="15"/>
  <c r="B865" i="15"/>
  <c r="B864" i="15"/>
  <c r="B863" i="15"/>
  <c r="B862" i="15"/>
  <c r="B861" i="15"/>
  <c r="B860" i="15"/>
  <c r="B859" i="15"/>
  <c r="B858" i="15"/>
  <c r="B857" i="15"/>
  <c r="B856" i="15"/>
  <c r="B855" i="15"/>
  <c r="B854" i="15"/>
  <c r="B853" i="15"/>
  <c r="B852" i="15"/>
  <c r="B851" i="15"/>
  <c r="B850" i="15"/>
  <c r="B849" i="15"/>
  <c r="B848" i="15"/>
  <c r="B847" i="15"/>
  <c r="B846" i="15"/>
  <c r="B845" i="15"/>
  <c r="B844" i="15"/>
  <c r="B843" i="15"/>
  <c r="B842" i="15"/>
  <c r="B841" i="15"/>
  <c r="B840" i="15"/>
  <c r="B839" i="15"/>
  <c r="B838" i="15"/>
  <c r="B837" i="15"/>
  <c r="B836" i="15"/>
  <c r="B835" i="15"/>
  <c r="B834" i="15"/>
  <c r="B833" i="15"/>
  <c r="B832" i="15"/>
  <c r="B831" i="15"/>
  <c r="B830" i="15"/>
  <c r="B829" i="15"/>
  <c r="B828" i="15"/>
  <c r="B827" i="15"/>
  <c r="B826" i="15"/>
  <c r="B825" i="15"/>
  <c r="B824" i="15"/>
  <c r="B823" i="15"/>
  <c r="B822" i="15"/>
  <c r="B821" i="15"/>
  <c r="B820" i="15"/>
  <c r="B819" i="15"/>
  <c r="B818" i="15"/>
  <c r="B817" i="15"/>
  <c r="B816" i="15"/>
  <c r="B815" i="15"/>
  <c r="B814" i="15"/>
  <c r="B813" i="15"/>
  <c r="B812" i="15"/>
  <c r="B811" i="15"/>
  <c r="B810" i="15"/>
  <c r="B809" i="15"/>
  <c r="B808" i="15"/>
  <c r="B807" i="15"/>
  <c r="B806" i="15"/>
  <c r="B805" i="15"/>
  <c r="B804" i="15"/>
  <c r="B803" i="15"/>
  <c r="B802" i="15"/>
  <c r="B801" i="15"/>
  <c r="B800" i="15"/>
  <c r="B799" i="15"/>
  <c r="B798" i="15"/>
  <c r="B797" i="15"/>
  <c r="B796" i="15"/>
  <c r="B795" i="15"/>
  <c r="B794" i="15"/>
  <c r="B793" i="15"/>
  <c r="B792" i="15"/>
  <c r="B791" i="15"/>
  <c r="B790" i="15"/>
  <c r="B789" i="15"/>
  <c r="B788" i="15"/>
  <c r="B787" i="15"/>
  <c r="B786" i="15"/>
  <c r="B785" i="15"/>
  <c r="B784" i="15"/>
  <c r="B783" i="15"/>
  <c r="B782" i="15"/>
  <c r="B781" i="15"/>
  <c r="B780" i="15"/>
  <c r="B779" i="15"/>
  <c r="B778" i="15"/>
  <c r="B777" i="15"/>
  <c r="B776" i="15"/>
  <c r="B775" i="15"/>
  <c r="B774" i="15"/>
  <c r="B773" i="15"/>
  <c r="B772" i="15"/>
  <c r="B771" i="15"/>
  <c r="B770" i="15"/>
  <c r="B769" i="15"/>
  <c r="B768" i="15"/>
  <c r="B767" i="15"/>
  <c r="B766" i="15"/>
  <c r="B765" i="15"/>
  <c r="B764" i="15"/>
  <c r="B763" i="15"/>
  <c r="B762" i="15"/>
  <c r="B761" i="15"/>
  <c r="B760" i="15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J27" i="15"/>
  <c r="B27" i="15"/>
  <c r="J26" i="15"/>
  <c r="B26" i="15"/>
  <c r="J25" i="15"/>
  <c r="B25" i="15"/>
  <c r="B24" i="15"/>
  <c r="B23" i="15"/>
  <c r="J22" i="15"/>
  <c r="B22" i="15"/>
  <c r="B21" i="15"/>
  <c r="J20" i="15"/>
  <c r="B20" i="15"/>
  <c r="B19" i="15"/>
  <c r="B18" i="15"/>
  <c r="B17" i="15"/>
  <c r="B16" i="15"/>
  <c r="B15" i="15"/>
  <c r="B14" i="15"/>
  <c r="J13" i="15"/>
  <c r="J15" i="15" s="1"/>
  <c r="B13" i="15"/>
  <c r="B12" i="15"/>
  <c r="B11" i="15"/>
  <c r="B10" i="15"/>
  <c r="B9" i="15"/>
  <c r="B8" i="15"/>
  <c r="B7" i="15"/>
  <c r="B6" i="15"/>
  <c r="B5" i="15"/>
  <c r="B4" i="15"/>
  <c r="B2445" i="14"/>
  <c r="B2444" i="14"/>
  <c r="B2443" i="14"/>
  <c r="B2442" i="14"/>
  <c r="B2441" i="14"/>
  <c r="B2440" i="14"/>
  <c r="B2439" i="14"/>
  <c r="B2438" i="14"/>
  <c r="B2437" i="14"/>
  <c r="B2436" i="14"/>
  <c r="B2435" i="14"/>
  <c r="B2434" i="14"/>
  <c r="B2433" i="14"/>
  <c r="B2432" i="14"/>
  <c r="B2431" i="14"/>
  <c r="B2430" i="14"/>
  <c r="B2429" i="14"/>
  <c r="B2428" i="14"/>
  <c r="B2427" i="14"/>
  <c r="B2426" i="14"/>
  <c r="B2425" i="14"/>
  <c r="B2424" i="14"/>
  <c r="B2423" i="14"/>
  <c r="B2422" i="14"/>
  <c r="B2421" i="14"/>
  <c r="B2420" i="14"/>
  <c r="B2419" i="14"/>
  <c r="B2418" i="14"/>
  <c r="B2417" i="14"/>
  <c r="B2416" i="14"/>
  <c r="B2415" i="14"/>
  <c r="B2414" i="14"/>
  <c r="B2413" i="14"/>
  <c r="B2412" i="14"/>
  <c r="B2411" i="14"/>
  <c r="B2410" i="14"/>
  <c r="B2409" i="14"/>
  <c r="B2408" i="14"/>
  <c r="B2407" i="14"/>
  <c r="B2406" i="14"/>
  <c r="B2405" i="14"/>
  <c r="B2404" i="14"/>
  <c r="B2403" i="14"/>
  <c r="B2402" i="14"/>
  <c r="B2401" i="14"/>
  <c r="B2400" i="14"/>
  <c r="B2399" i="14"/>
  <c r="B2398" i="14"/>
  <c r="B2397" i="14"/>
  <c r="B2396" i="14"/>
  <c r="B2395" i="14"/>
  <c r="B2394" i="14"/>
  <c r="B2393" i="14"/>
  <c r="B2392" i="14"/>
  <c r="B2391" i="14"/>
  <c r="B2390" i="14"/>
  <c r="B2389" i="14"/>
  <c r="B2388" i="14"/>
  <c r="B2387" i="14"/>
  <c r="B2386" i="14"/>
  <c r="B2385" i="14"/>
  <c r="B2384" i="14"/>
  <c r="B2383" i="14"/>
  <c r="B2382" i="14"/>
  <c r="B2381" i="14"/>
  <c r="B2380" i="14"/>
  <c r="B2379" i="14"/>
  <c r="B2378" i="14"/>
  <c r="B2377" i="14"/>
  <c r="B2376" i="14"/>
  <c r="B2375" i="14"/>
  <c r="B2374" i="14"/>
  <c r="B2373" i="14"/>
  <c r="B2372" i="14"/>
  <c r="B2371" i="14"/>
  <c r="B2370" i="14"/>
  <c r="B2369" i="14"/>
  <c r="B2368" i="14"/>
  <c r="B2367" i="14"/>
  <c r="B2366" i="14"/>
  <c r="B2365" i="14"/>
  <c r="B2364" i="14"/>
  <c r="B2363" i="14"/>
  <c r="B2362" i="14"/>
  <c r="B2361" i="14"/>
  <c r="B2360" i="14"/>
  <c r="B2359" i="14"/>
  <c r="B2358" i="14"/>
  <c r="B2357" i="14"/>
  <c r="B2356" i="14"/>
  <c r="B2355" i="14"/>
  <c r="B2354" i="14"/>
  <c r="B2353" i="14"/>
  <c r="B2352" i="14"/>
  <c r="B2351" i="14"/>
  <c r="B2350" i="14"/>
  <c r="B2349" i="14"/>
  <c r="B2348" i="14"/>
  <c r="B2347" i="14"/>
  <c r="B2346" i="14"/>
  <c r="B2345" i="14"/>
  <c r="B2344" i="14"/>
  <c r="B2343" i="14"/>
  <c r="B2342" i="14"/>
  <c r="B2341" i="14"/>
  <c r="B2340" i="14"/>
  <c r="B2339" i="14"/>
  <c r="B2338" i="14"/>
  <c r="B2337" i="14"/>
  <c r="B2336" i="14"/>
  <c r="B2335" i="14"/>
  <c r="B2334" i="14"/>
  <c r="B2333" i="14"/>
  <c r="B2332" i="14"/>
  <c r="B2331" i="14"/>
  <c r="B2330" i="14"/>
  <c r="B2329" i="14"/>
  <c r="B2328" i="14"/>
  <c r="B2327" i="14"/>
  <c r="B2326" i="14"/>
  <c r="B2325" i="14"/>
  <c r="B2324" i="14"/>
  <c r="B2323" i="14"/>
  <c r="B2322" i="14"/>
  <c r="B2321" i="14"/>
  <c r="B2320" i="14"/>
  <c r="B2319" i="14"/>
  <c r="B2318" i="14"/>
  <c r="B2317" i="14"/>
  <c r="B2316" i="14"/>
  <c r="B2315" i="14"/>
  <c r="B2314" i="14"/>
  <c r="B2313" i="14"/>
  <c r="B2312" i="14"/>
  <c r="B2311" i="14"/>
  <c r="B2310" i="14"/>
  <c r="B2309" i="14"/>
  <c r="B2308" i="14"/>
  <c r="B2307" i="14"/>
  <c r="B2306" i="14"/>
  <c r="B2305" i="14"/>
  <c r="B2304" i="14"/>
  <c r="B2303" i="14"/>
  <c r="B2302" i="14"/>
  <c r="B2301" i="14"/>
  <c r="B2300" i="14"/>
  <c r="B2299" i="14"/>
  <c r="B2298" i="14"/>
  <c r="B2297" i="14"/>
  <c r="B2296" i="14"/>
  <c r="B2295" i="14"/>
  <c r="B2294" i="14"/>
  <c r="B2293" i="14"/>
  <c r="B2292" i="14"/>
  <c r="B2291" i="14"/>
  <c r="B2290" i="14"/>
  <c r="B2289" i="14"/>
  <c r="B2288" i="14"/>
  <c r="B2287" i="14"/>
  <c r="B2286" i="14"/>
  <c r="B2285" i="14"/>
  <c r="B2284" i="14"/>
  <c r="B2283" i="14"/>
  <c r="B2282" i="14"/>
  <c r="B2281" i="14"/>
  <c r="B2280" i="14"/>
  <c r="B2279" i="14"/>
  <c r="B2278" i="14"/>
  <c r="B2277" i="14"/>
  <c r="B2276" i="14"/>
  <c r="B2275" i="14"/>
  <c r="B2274" i="14"/>
  <c r="B2273" i="14"/>
  <c r="B2272" i="14"/>
  <c r="B2271" i="14"/>
  <c r="B2270" i="14"/>
  <c r="B2269" i="14"/>
  <c r="B2268" i="14"/>
  <c r="B2267" i="14"/>
  <c r="B2266" i="14"/>
  <c r="B2265" i="14"/>
  <c r="B2264" i="14"/>
  <c r="B2263" i="14"/>
  <c r="B2262" i="14"/>
  <c r="B2261" i="14"/>
  <c r="B2260" i="14"/>
  <c r="B2259" i="14"/>
  <c r="B2258" i="14"/>
  <c r="B2257" i="14"/>
  <c r="B2256" i="14"/>
  <c r="B2255" i="14"/>
  <c r="B2254" i="14"/>
  <c r="B2253" i="14"/>
  <c r="B2252" i="14"/>
  <c r="B2251" i="14"/>
  <c r="B2250" i="14"/>
  <c r="B2249" i="14"/>
  <c r="B2248" i="14"/>
  <c r="B2247" i="14"/>
  <c r="B2246" i="14"/>
  <c r="B2245" i="14"/>
  <c r="B2244" i="14"/>
  <c r="B2243" i="14"/>
  <c r="B2242" i="14"/>
  <c r="B2241" i="14"/>
  <c r="B2240" i="14"/>
  <c r="B2239" i="14"/>
  <c r="B2238" i="14"/>
  <c r="B2237" i="14"/>
  <c r="B2236" i="14"/>
  <c r="B2235" i="14"/>
  <c r="B2234" i="14"/>
  <c r="B2233" i="14"/>
  <c r="B2232" i="14"/>
  <c r="B2231" i="14"/>
  <c r="B2230" i="14"/>
  <c r="B2229" i="14"/>
  <c r="B2228" i="14"/>
  <c r="B2227" i="14"/>
  <c r="B2226" i="14"/>
  <c r="B2225" i="14"/>
  <c r="B2224" i="14"/>
  <c r="B2223" i="14"/>
  <c r="B2222" i="14"/>
  <c r="B2221" i="14"/>
  <c r="B2220" i="14"/>
  <c r="B2219" i="14"/>
  <c r="B2218" i="14"/>
  <c r="B2217" i="14"/>
  <c r="B2216" i="14"/>
  <c r="B2215" i="14"/>
  <c r="B2214" i="14"/>
  <c r="B2213" i="14"/>
  <c r="B2212" i="14"/>
  <c r="B2211" i="14"/>
  <c r="B2210" i="14"/>
  <c r="B2209" i="14"/>
  <c r="B2208" i="14"/>
  <c r="B2207" i="14"/>
  <c r="B2206" i="14"/>
  <c r="B2205" i="14"/>
  <c r="B2204" i="14"/>
  <c r="B2203" i="14"/>
  <c r="B2202" i="14"/>
  <c r="B2201" i="14"/>
  <c r="B2200" i="14"/>
  <c r="B2199" i="14"/>
  <c r="B2198" i="14"/>
  <c r="B2197" i="14"/>
  <c r="B2196" i="14"/>
  <c r="B2195" i="14"/>
  <c r="B2194" i="14"/>
  <c r="B2193" i="14"/>
  <c r="B2192" i="14"/>
  <c r="B2191" i="14"/>
  <c r="B2190" i="14"/>
  <c r="B2189" i="14"/>
  <c r="B2188" i="14"/>
  <c r="B2187" i="14"/>
  <c r="B2186" i="14"/>
  <c r="B2185" i="14"/>
  <c r="B2184" i="14"/>
  <c r="B2183" i="14"/>
  <c r="B2182" i="14"/>
  <c r="B2181" i="14"/>
  <c r="B2180" i="14"/>
  <c r="B2179" i="14"/>
  <c r="B2178" i="14"/>
  <c r="B2177" i="14"/>
  <c r="B2176" i="14"/>
  <c r="B2175" i="14"/>
  <c r="B2174" i="14"/>
  <c r="B2173" i="14"/>
  <c r="B2172" i="14"/>
  <c r="B2171" i="14"/>
  <c r="B2170" i="14"/>
  <c r="B2169" i="14"/>
  <c r="B2168" i="14"/>
  <c r="B2167" i="14"/>
  <c r="B2166" i="14"/>
  <c r="B2165" i="14"/>
  <c r="B2164" i="14"/>
  <c r="B2163" i="14"/>
  <c r="B2162" i="14"/>
  <c r="B2161" i="14"/>
  <c r="B2160" i="14"/>
  <c r="B2159" i="14"/>
  <c r="B2158" i="14"/>
  <c r="B2157" i="14"/>
  <c r="B2156" i="14"/>
  <c r="B2155" i="14"/>
  <c r="B2154" i="14"/>
  <c r="B2153" i="14"/>
  <c r="B2152" i="14"/>
  <c r="B2151" i="14"/>
  <c r="B2150" i="14"/>
  <c r="B2149" i="14"/>
  <c r="B2148" i="14"/>
  <c r="B2147" i="14"/>
  <c r="B2146" i="14"/>
  <c r="B2145" i="14"/>
  <c r="B2144" i="14"/>
  <c r="B2143" i="14"/>
  <c r="B2142" i="14"/>
  <c r="B2141" i="14"/>
  <c r="B2140" i="14"/>
  <c r="B2139" i="14"/>
  <c r="B2138" i="14"/>
  <c r="B2137" i="14"/>
  <c r="B2136" i="14"/>
  <c r="B2135" i="14"/>
  <c r="B2134" i="14"/>
  <c r="B2133" i="14"/>
  <c r="B2132" i="14"/>
  <c r="B2131" i="14"/>
  <c r="B2130" i="14"/>
  <c r="B2129" i="14"/>
  <c r="B2128" i="14"/>
  <c r="B2127" i="14"/>
  <c r="B2126" i="14"/>
  <c r="B2125" i="14"/>
  <c r="B2124" i="14"/>
  <c r="B2123" i="14"/>
  <c r="B2122" i="14"/>
  <c r="B2121" i="14"/>
  <c r="B2120" i="14"/>
  <c r="B2119" i="14"/>
  <c r="B2118" i="14"/>
  <c r="B2117" i="14"/>
  <c r="B2116" i="14"/>
  <c r="B2115" i="14"/>
  <c r="B2114" i="14"/>
  <c r="B2113" i="14"/>
  <c r="B2112" i="14"/>
  <c r="B2111" i="14"/>
  <c r="B2110" i="14"/>
  <c r="B2109" i="14"/>
  <c r="B2108" i="14"/>
  <c r="B2107" i="14"/>
  <c r="B2106" i="14"/>
  <c r="B2105" i="14"/>
  <c r="B2104" i="14"/>
  <c r="B2103" i="14"/>
  <c r="B2102" i="14"/>
  <c r="B2101" i="14"/>
  <c r="B2100" i="14"/>
  <c r="B2099" i="14"/>
  <c r="B2098" i="14"/>
  <c r="B2097" i="14"/>
  <c r="B2096" i="14"/>
  <c r="B2095" i="14"/>
  <c r="B2094" i="14"/>
  <c r="B2093" i="14"/>
  <c r="B2092" i="14"/>
  <c r="B2091" i="14"/>
  <c r="B2090" i="14"/>
  <c r="B2089" i="14"/>
  <c r="B2088" i="14"/>
  <c r="B2087" i="14"/>
  <c r="B2086" i="14"/>
  <c r="B2085" i="14"/>
  <c r="B2084" i="14"/>
  <c r="B2083" i="14"/>
  <c r="B2082" i="14"/>
  <c r="B2081" i="14"/>
  <c r="B2080" i="14"/>
  <c r="B2079" i="14"/>
  <c r="B2078" i="14"/>
  <c r="B2077" i="14"/>
  <c r="B2076" i="14"/>
  <c r="B2075" i="14"/>
  <c r="B2074" i="14"/>
  <c r="B2073" i="14"/>
  <c r="B2072" i="14"/>
  <c r="B2071" i="14"/>
  <c r="B2070" i="14"/>
  <c r="B2069" i="14"/>
  <c r="B2068" i="14"/>
  <c r="B2067" i="14"/>
  <c r="B2066" i="14"/>
  <c r="B2065" i="14"/>
  <c r="B2064" i="14"/>
  <c r="B2063" i="14"/>
  <c r="B2062" i="14"/>
  <c r="B2061" i="14"/>
  <c r="B2060" i="14"/>
  <c r="B2059" i="14"/>
  <c r="B2058" i="14"/>
  <c r="B2057" i="14"/>
  <c r="B2056" i="14"/>
  <c r="B2055" i="14"/>
  <c r="B2054" i="14"/>
  <c r="B2053" i="14"/>
  <c r="B2052" i="14"/>
  <c r="B2051" i="14"/>
  <c r="B2050" i="14"/>
  <c r="B2049" i="14"/>
  <c r="B2048" i="14"/>
  <c r="B2047" i="14"/>
  <c r="B2046" i="14"/>
  <c r="B2045" i="14"/>
  <c r="B2044" i="14"/>
  <c r="B2043" i="14"/>
  <c r="B2042" i="14"/>
  <c r="B2041" i="14"/>
  <c r="B2040" i="14"/>
  <c r="B2039" i="14"/>
  <c r="B2038" i="14"/>
  <c r="B2037" i="14"/>
  <c r="B2036" i="14"/>
  <c r="B2035" i="14"/>
  <c r="B2034" i="14"/>
  <c r="B2033" i="14"/>
  <c r="B2032" i="14"/>
  <c r="B2031" i="14"/>
  <c r="B2030" i="14"/>
  <c r="B2029" i="14"/>
  <c r="B2028" i="14"/>
  <c r="B2027" i="14"/>
  <c r="B2026" i="14"/>
  <c r="B2025" i="14"/>
  <c r="B2024" i="14"/>
  <c r="B2023" i="14"/>
  <c r="B2022" i="14"/>
  <c r="B2021" i="14"/>
  <c r="B2020" i="14"/>
  <c r="B2019" i="14"/>
  <c r="B2018" i="14"/>
  <c r="B2017" i="14"/>
  <c r="B2016" i="14"/>
  <c r="B2015" i="14"/>
  <c r="B2014" i="14"/>
  <c r="B2013" i="14"/>
  <c r="B2012" i="14"/>
  <c r="B2011" i="14"/>
  <c r="B2010" i="14"/>
  <c r="B2009" i="14"/>
  <c r="B2008" i="14"/>
  <c r="B2007" i="14"/>
  <c r="B2006" i="14"/>
  <c r="B2005" i="14"/>
  <c r="B2004" i="14"/>
  <c r="B2003" i="14"/>
  <c r="B2002" i="14"/>
  <c r="B2001" i="14"/>
  <c r="B2000" i="14"/>
  <c r="B1999" i="14"/>
  <c r="B1998" i="14"/>
  <c r="B1997" i="14"/>
  <c r="B1996" i="14"/>
  <c r="B1995" i="14"/>
  <c r="B1994" i="14"/>
  <c r="B1993" i="14"/>
  <c r="B1992" i="14"/>
  <c r="B1991" i="14"/>
  <c r="B1990" i="14"/>
  <c r="B1989" i="14"/>
  <c r="B1988" i="14"/>
  <c r="B1987" i="14"/>
  <c r="B1986" i="14"/>
  <c r="B1985" i="14"/>
  <c r="B1984" i="14"/>
  <c r="B1983" i="14"/>
  <c r="B1982" i="14"/>
  <c r="B1981" i="14"/>
  <c r="B1980" i="14"/>
  <c r="B1979" i="14"/>
  <c r="B1978" i="14"/>
  <c r="B1977" i="14"/>
  <c r="B1976" i="14"/>
  <c r="B1975" i="14"/>
  <c r="B1974" i="14"/>
  <c r="B1973" i="14"/>
  <c r="B1972" i="14"/>
  <c r="B1971" i="14"/>
  <c r="B1970" i="14"/>
  <c r="B1969" i="14"/>
  <c r="B1968" i="14"/>
  <c r="B1967" i="14"/>
  <c r="B1966" i="14"/>
  <c r="B1965" i="14"/>
  <c r="B1964" i="14"/>
  <c r="B1963" i="14"/>
  <c r="B1962" i="14"/>
  <c r="B1961" i="14"/>
  <c r="B1960" i="14"/>
  <c r="B1959" i="14"/>
  <c r="B1958" i="14"/>
  <c r="B1957" i="14"/>
  <c r="B1956" i="14"/>
  <c r="B1955" i="14"/>
  <c r="B1954" i="14"/>
  <c r="B1953" i="14"/>
  <c r="B1952" i="14"/>
  <c r="B1951" i="14"/>
  <c r="B1950" i="14"/>
  <c r="B1949" i="14"/>
  <c r="B1948" i="14"/>
  <c r="B1947" i="14"/>
  <c r="B1946" i="14"/>
  <c r="B1945" i="14"/>
  <c r="B1944" i="14"/>
  <c r="B1943" i="14"/>
  <c r="B1942" i="14"/>
  <c r="B1941" i="14"/>
  <c r="B1940" i="14"/>
  <c r="B1939" i="14"/>
  <c r="B1938" i="14"/>
  <c r="B1937" i="14"/>
  <c r="B1936" i="14"/>
  <c r="B1935" i="14"/>
  <c r="B1934" i="14"/>
  <c r="B1933" i="14"/>
  <c r="B1932" i="14"/>
  <c r="B1931" i="14"/>
  <c r="B1930" i="14"/>
  <c r="B1929" i="14"/>
  <c r="B1928" i="14"/>
  <c r="B1927" i="14"/>
  <c r="B1926" i="14"/>
  <c r="B1925" i="14"/>
  <c r="B1924" i="14"/>
  <c r="B1923" i="14"/>
  <c r="B1922" i="14"/>
  <c r="B1921" i="14"/>
  <c r="B1920" i="14"/>
  <c r="B1919" i="14"/>
  <c r="B1918" i="14"/>
  <c r="B1917" i="14"/>
  <c r="B1916" i="14"/>
  <c r="B1915" i="14"/>
  <c r="B1914" i="14"/>
  <c r="B1913" i="14"/>
  <c r="B1912" i="14"/>
  <c r="B1911" i="14"/>
  <c r="B1910" i="14"/>
  <c r="B1909" i="14"/>
  <c r="B1908" i="14"/>
  <c r="B1907" i="14"/>
  <c r="B1906" i="14"/>
  <c r="B1905" i="14"/>
  <c r="B1904" i="14"/>
  <c r="B1903" i="14"/>
  <c r="B1902" i="14"/>
  <c r="B1901" i="14"/>
  <c r="B1900" i="14"/>
  <c r="B1899" i="14"/>
  <c r="B1898" i="14"/>
  <c r="B1897" i="14"/>
  <c r="B1896" i="14"/>
  <c r="B1895" i="14"/>
  <c r="B1894" i="14"/>
  <c r="B1893" i="14"/>
  <c r="B1892" i="14"/>
  <c r="B1891" i="14"/>
  <c r="B1890" i="14"/>
  <c r="B1889" i="14"/>
  <c r="B1888" i="14"/>
  <c r="B1887" i="14"/>
  <c r="B1886" i="14"/>
  <c r="B1885" i="14"/>
  <c r="B1884" i="14"/>
  <c r="B1883" i="14"/>
  <c r="B1882" i="14"/>
  <c r="B1881" i="14"/>
  <c r="B1880" i="14"/>
  <c r="B1879" i="14"/>
  <c r="B1878" i="14"/>
  <c r="B1877" i="14"/>
  <c r="B1876" i="14"/>
  <c r="B1875" i="14"/>
  <c r="B1874" i="14"/>
  <c r="B1873" i="14"/>
  <c r="B1872" i="14"/>
  <c r="B1871" i="14"/>
  <c r="B1870" i="14"/>
  <c r="B1869" i="14"/>
  <c r="B1868" i="14"/>
  <c r="B1867" i="14"/>
  <c r="B1866" i="14"/>
  <c r="B1865" i="14"/>
  <c r="B1864" i="14"/>
  <c r="B1863" i="14"/>
  <c r="B1862" i="14"/>
  <c r="B1861" i="14"/>
  <c r="B1860" i="14"/>
  <c r="B1859" i="14"/>
  <c r="B1858" i="14"/>
  <c r="B1857" i="14"/>
  <c r="B1856" i="14"/>
  <c r="B1855" i="14"/>
  <c r="B1854" i="14"/>
  <c r="B1853" i="14"/>
  <c r="B1852" i="14"/>
  <c r="B1851" i="14"/>
  <c r="B1850" i="14"/>
  <c r="B1849" i="14"/>
  <c r="B1848" i="14"/>
  <c r="B1847" i="14"/>
  <c r="B1846" i="14"/>
  <c r="B1845" i="14"/>
  <c r="B1844" i="14"/>
  <c r="B1843" i="14"/>
  <c r="B1842" i="14"/>
  <c r="B1841" i="14"/>
  <c r="B1840" i="14"/>
  <c r="B1839" i="14"/>
  <c r="B1838" i="14"/>
  <c r="B1837" i="14"/>
  <c r="B1836" i="14"/>
  <c r="B1835" i="14"/>
  <c r="B1834" i="14"/>
  <c r="B1833" i="14"/>
  <c r="B1832" i="14"/>
  <c r="B1831" i="14"/>
  <c r="B1830" i="14"/>
  <c r="B1829" i="14"/>
  <c r="B1828" i="14"/>
  <c r="B1827" i="14"/>
  <c r="B1826" i="14"/>
  <c r="B1825" i="14"/>
  <c r="B1824" i="14"/>
  <c r="B1823" i="14"/>
  <c r="B1822" i="14"/>
  <c r="B1821" i="14"/>
  <c r="B1820" i="14"/>
  <c r="B1819" i="14"/>
  <c r="B1818" i="14"/>
  <c r="B1817" i="14"/>
  <c r="B1816" i="14"/>
  <c r="B1815" i="14"/>
  <c r="B1814" i="14"/>
  <c r="B1813" i="14"/>
  <c r="B1812" i="14"/>
  <c r="B1811" i="14"/>
  <c r="B1810" i="14"/>
  <c r="B1809" i="14"/>
  <c r="B1808" i="14"/>
  <c r="B1807" i="14"/>
  <c r="B1806" i="14"/>
  <c r="B1805" i="14"/>
  <c r="B1804" i="14"/>
  <c r="B1803" i="14"/>
  <c r="B1802" i="14"/>
  <c r="B1801" i="14"/>
  <c r="B1800" i="14"/>
  <c r="B1799" i="14"/>
  <c r="B1798" i="14"/>
  <c r="B1797" i="14"/>
  <c r="B1796" i="14"/>
  <c r="B1795" i="14"/>
  <c r="B1794" i="14"/>
  <c r="B1793" i="14"/>
  <c r="B1792" i="14"/>
  <c r="B1791" i="14"/>
  <c r="B1790" i="14"/>
  <c r="B1789" i="14"/>
  <c r="B1788" i="14"/>
  <c r="B1787" i="14"/>
  <c r="B1786" i="14"/>
  <c r="B1785" i="14"/>
  <c r="B1784" i="14"/>
  <c r="B1783" i="14"/>
  <c r="B1782" i="14"/>
  <c r="B1781" i="14"/>
  <c r="B1780" i="14"/>
  <c r="B1779" i="14"/>
  <c r="B1778" i="14"/>
  <c r="B1777" i="14"/>
  <c r="B1776" i="14"/>
  <c r="B1775" i="14"/>
  <c r="B1774" i="14"/>
  <c r="B1773" i="14"/>
  <c r="B1772" i="14"/>
  <c r="B1771" i="14"/>
  <c r="B1770" i="14"/>
  <c r="B1769" i="14"/>
  <c r="B1768" i="14"/>
  <c r="B1767" i="14"/>
  <c r="B1766" i="14"/>
  <c r="B1765" i="14"/>
  <c r="B1764" i="14"/>
  <c r="B1763" i="14"/>
  <c r="B1762" i="14"/>
  <c r="B1761" i="14"/>
  <c r="B1760" i="14"/>
  <c r="B1759" i="14"/>
  <c r="B1758" i="14"/>
  <c r="B1757" i="14"/>
  <c r="B1756" i="14"/>
  <c r="B1755" i="14"/>
  <c r="B1754" i="14"/>
  <c r="B1753" i="14"/>
  <c r="B1752" i="14"/>
  <c r="B1751" i="14"/>
  <c r="B1750" i="14"/>
  <c r="B1749" i="14"/>
  <c r="B1748" i="14"/>
  <c r="B1747" i="14"/>
  <c r="B1746" i="14"/>
  <c r="B1745" i="14"/>
  <c r="B1744" i="14"/>
  <c r="B1743" i="14"/>
  <c r="B1742" i="14"/>
  <c r="B1741" i="14"/>
  <c r="B1740" i="14"/>
  <c r="B1739" i="14"/>
  <c r="B1738" i="14"/>
  <c r="B1737" i="14"/>
  <c r="B1736" i="14"/>
  <c r="B1735" i="14"/>
  <c r="B1734" i="14"/>
  <c r="B1733" i="14"/>
  <c r="B1732" i="14"/>
  <c r="B1731" i="14"/>
  <c r="B1730" i="14"/>
  <c r="B1729" i="14"/>
  <c r="B1728" i="14"/>
  <c r="B1727" i="14"/>
  <c r="B1726" i="14"/>
  <c r="B1725" i="14"/>
  <c r="B1724" i="14"/>
  <c r="B1723" i="14"/>
  <c r="B1722" i="14"/>
  <c r="B1721" i="14"/>
  <c r="B1720" i="14"/>
  <c r="B1719" i="14"/>
  <c r="B1718" i="14"/>
  <c r="B1717" i="14"/>
  <c r="B1716" i="14"/>
  <c r="B1715" i="14"/>
  <c r="B1714" i="14"/>
  <c r="B1713" i="14"/>
  <c r="B1712" i="14"/>
  <c r="B1711" i="14"/>
  <c r="B1710" i="14"/>
  <c r="B1709" i="14"/>
  <c r="B1708" i="14"/>
  <c r="B1707" i="14"/>
  <c r="B1706" i="14"/>
  <c r="B1705" i="14"/>
  <c r="B1704" i="14"/>
  <c r="B1703" i="14"/>
  <c r="B1702" i="14"/>
  <c r="B1701" i="14"/>
  <c r="B1700" i="14"/>
  <c r="B1699" i="14"/>
  <c r="B1698" i="14"/>
  <c r="B1697" i="14"/>
  <c r="B1696" i="14"/>
  <c r="B1695" i="14"/>
  <c r="B1694" i="14"/>
  <c r="B1693" i="14"/>
  <c r="B1692" i="14"/>
  <c r="B1691" i="14"/>
  <c r="B1690" i="14"/>
  <c r="B1689" i="14"/>
  <c r="B1688" i="14"/>
  <c r="B1687" i="14"/>
  <c r="B1686" i="14"/>
  <c r="B1685" i="14"/>
  <c r="B1684" i="14"/>
  <c r="B1683" i="14"/>
  <c r="B1682" i="14"/>
  <c r="B1681" i="14"/>
  <c r="B1680" i="14"/>
  <c r="B1679" i="14"/>
  <c r="B1678" i="14"/>
  <c r="B1677" i="14"/>
  <c r="B1676" i="14"/>
  <c r="B1675" i="14"/>
  <c r="B1674" i="14"/>
  <c r="B1673" i="14"/>
  <c r="B1672" i="14"/>
  <c r="B1671" i="14"/>
  <c r="B1670" i="14"/>
  <c r="B1669" i="14"/>
  <c r="B1668" i="14"/>
  <c r="B1667" i="14"/>
  <c r="B1666" i="14"/>
  <c r="B1665" i="14"/>
  <c r="B1664" i="14"/>
  <c r="B1663" i="14"/>
  <c r="B1662" i="14"/>
  <c r="B1661" i="14"/>
  <c r="B1660" i="14"/>
  <c r="B1659" i="14"/>
  <c r="B1658" i="14"/>
  <c r="B1657" i="14"/>
  <c r="B1656" i="14"/>
  <c r="B1655" i="14"/>
  <c r="B1654" i="14"/>
  <c r="B1653" i="14"/>
  <c r="B1652" i="14"/>
  <c r="B1651" i="14"/>
  <c r="B1650" i="14"/>
  <c r="B1649" i="14"/>
  <c r="B1648" i="14"/>
  <c r="B1647" i="14"/>
  <c r="B1646" i="14"/>
  <c r="B1645" i="14"/>
  <c r="B1644" i="14"/>
  <c r="B1643" i="14"/>
  <c r="B1642" i="14"/>
  <c r="B1641" i="14"/>
  <c r="B1640" i="14"/>
  <c r="B1639" i="14"/>
  <c r="B1638" i="14"/>
  <c r="B1637" i="14"/>
  <c r="B1636" i="14"/>
  <c r="B1635" i="14"/>
  <c r="B1634" i="14"/>
  <c r="B1633" i="14"/>
  <c r="B1632" i="14"/>
  <c r="B1631" i="14"/>
  <c r="B1630" i="14"/>
  <c r="B1629" i="14"/>
  <c r="B1628" i="14"/>
  <c r="B1627" i="14"/>
  <c r="B1626" i="14"/>
  <c r="B1625" i="14"/>
  <c r="B1624" i="14"/>
  <c r="B1623" i="14"/>
  <c r="B1622" i="14"/>
  <c r="B1621" i="14"/>
  <c r="B1620" i="14"/>
  <c r="B1619" i="14"/>
  <c r="B1618" i="14"/>
  <c r="B1617" i="14"/>
  <c r="B1616" i="14"/>
  <c r="B1615" i="14"/>
  <c r="B1614" i="14"/>
  <c r="B1613" i="14"/>
  <c r="B1612" i="14"/>
  <c r="B1611" i="14"/>
  <c r="B1610" i="14"/>
  <c r="B1609" i="14"/>
  <c r="B1608" i="14"/>
  <c r="B1607" i="14"/>
  <c r="B1606" i="14"/>
  <c r="B1605" i="14"/>
  <c r="B1604" i="14"/>
  <c r="B1603" i="14"/>
  <c r="B1602" i="14"/>
  <c r="B1601" i="14"/>
  <c r="B1600" i="14"/>
  <c r="B1599" i="14"/>
  <c r="B1598" i="14"/>
  <c r="B1597" i="14"/>
  <c r="B1596" i="14"/>
  <c r="B1595" i="14"/>
  <c r="B1594" i="14"/>
  <c r="B1593" i="14"/>
  <c r="B1592" i="14"/>
  <c r="B1591" i="14"/>
  <c r="B1590" i="14"/>
  <c r="B1589" i="14"/>
  <c r="B1588" i="14"/>
  <c r="B1587" i="14"/>
  <c r="B1586" i="14"/>
  <c r="B1585" i="14"/>
  <c r="B1584" i="14"/>
  <c r="B1583" i="14"/>
  <c r="B1582" i="14"/>
  <c r="B1581" i="14"/>
  <c r="B1580" i="14"/>
  <c r="B1579" i="14"/>
  <c r="B1578" i="14"/>
  <c r="B1577" i="14"/>
  <c r="B1576" i="14"/>
  <c r="B1575" i="14"/>
  <c r="B1574" i="14"/>
  <c r="B1573" i="14"/>
  <c r="B1572" i="14"/>
  <c r="B1571" i="14"/>
  <c r="B1570" i="14"/>
  <c r="B1569" i="14"/>
  <c r="B1568" i="14"/>
  <c r="B1567" i="14"/>
  <c r="B1566" i="14"/>
  <c r="B1565" i="14"/>
  <c r="B1564" i="14"/>
  <c r="B1563" i="14"/>
  <c r="B1562" i="14"/>
  <c r="B1561" i="14"/>
  <c r="B1560" i="14"/>
  <c r="B1559" i="14"/>
  <c r="B1558" i="14"/>
  <c r="B1557" i="14"/>
  <c r="B1556" i="14"/>
  <c r="B1555" i="14"/>
  <c r="B1554" i="14"/>
  <c r="B1553" i="14"/>
  <c r="B1552" i="14"/>
  <c r="B1551" i="14"/>
  <c r="B1550" i="14"/>
  <c r="B1549" i="14"/>
  <c r="B1548" i="14"/>
  <c r="B1547" i="14"/>
  <c r="B1546" i="14"/>
  <c r="B1545" i="14"/>
  <c r="B1544" i="14"/>
  <c r="B1543" i="14"/>
  <c r="B1542" i="14"/>
  <c r="B1541" i="14"/>
  <c r="B1540" i="14"/>
  <c r="B1539" i="14"/>
  <c r="B1538" i="14"/>
  <c r="B1537" i="14"/>
  <c r="B1536" i="14"/>
  <c r="B1535" i="14"/>
  <c r="B1534" i="14"/>
  <c r="B1533" i="14"/>
  <c r="B1532" i="14"/>
  <c r="B1531" i="14"/>
  <c r="B1530" i="14"/>
  <c r="B1529" i="14"/>
  <c r="B1528" i="14"/>
  <c r="B1527" i="14"/>
  <c r="B1526" i="14"/>
  <c r="B1525" i="14"/>
  <c r="B1524" i="14"/>
  <c r="B1523" i="14"/>
  <c r="B1522" i="14"/>
  <c r="B1521" i="14"/>
  <c r="B1520" i="14"/>
  <c r="B1519" i="14"/>
  <c r="B1518" i="14"/>
  <c r="B1517" i="14"/>
  <c r="B1516" i="14"/>
  <c r="B1515" i="14"/>
  <c r="B1514" i="14"/>
  <c r="B1513" i="14"/>
  <c r="B1512" i="14"/>
  <c r="B1511" i="14"/>
  <c r="B1510" i="14"/>
  <c r="B1509" i="14"/>
  <c r="B1508" i="14"/>
  <c r="B1507" i="14"/>
  <c r="B1506" i="14"/>
  <c r="B1505" i="14"/>
  <c r="B1504" i="14"/>
  <c r="B1503" i="14"/>
  <c r="B1502" i="14"/>
  <c r="B1501" i="14"/>
  <c r="B1500" i="14"/>
  <c r="B1499" i="14"/>
  <c r="B1498" i="14"/>
  <c r="B1497" i="14"/>
  <c r="B1496" i="14"/>
  <c r="B1495" i="14"/>
  <c r="B1494" i="14"/>
  <c r="B1493" i="14"/>
  <c r="B1492" i="14"/>
  <c r="B1491" i="14"/>
  <c r="B1490" i="14"/>
  <c r="B1489" i="14"/>
  <c r="B1488" i="14"/>
  <c r="B1487" i="14"/>
  <c r="B1486" i="14"/>
  <c r="B1485" i="14"/>
  <c r="B1484" i="14"/>
  <c r="B1483" i="14"/>
  <c r="B1482" i="14"/>
  <c r="B1481" i="14"/>
  <c r="B1480" i="14"/>
  <c r="B1479" i="14"/>
  <c r="B1478" i="14"/>
  <c r="B1477" i="14"/>
  <c r="B1476" i="14"/>
  <c r="B1475" i="14"/>
  <c r="B1474" i="14"/>
  <c r="B1473" i="14"/>
  <c r="B1472" i="14"/>
  <c r="B1471" i="14"/>
  <c r="B1470" i="14"/>
  <c r="B1469" i="14"/>
  <c r="B1468" i="14"/>
  <c r="B1467" i="14"/>
  <c r="B1466" i="14"/>
  <c r="B1465" i="14"/>
  <c r="B1464" i="14"/>
  <c r="B1463" i="14"/>
  <c r="B1462" i="14"/>
  <c r="B1461" i="14"/>
  <c r="B1460" i="14"/>
  <c r="B1459" i="14"/>
  <c r="B1458" i="14"/>
  <c r="B1457" i="14"/>
  <c r="B1456" i="14"/>
  <c r="B1455" i="14"/>
  <c r="B1454" i="14"/>
  <c r="B1453" i="14"/>
  <c r="B1452" i="14"/>
  <c r="B1451" i="14"/>
  <c r="B1450" i="14"/>
  <c r="B1449" i="14"/>
  <c r="B1448" i="14"/>
  <c r="B1447" i="14"/>
  <c r="B1446" i="14"/>
  <c r="B1445" i="14"/>
  <c r="B1444" i="14"/>
  <c r="B1443" i="14"/>
  <c r="B1442" i="14"/>
  <c r="B1441" i="14"/>
  <c r="B1440" i="14"/>
  <c r="B1439" i="14"/>
  <c r="B1438" i="14"/>
  <c r="B1437" i="14"/>
  <c r="B1436" i="14"/>
  <c r="B1435" i="14"/>
  <c r="B1434" i="14"/>
  <c r="B1433" i="14"/>
  <c r="B1432" i="14"/>
  <c r="B1431" i="14"/>
  <c r="B1430" i="14"/>
  <c r="B1429" i="14"/>
  <c r="B1428" i="14"/>
  <c r="B1427" i="14"/>
  <c r="B1426" i="14"/>
  <c r="B1425" i="14"/>
  <c r="B1424" i="14"/>
  <c r="B1423" i="14"/>
  <c r="B1422" i="14"/>
  <c r="B1421" i="14"/>
  <c r="B1420" i="14"/>
  <c r="B1419" i="14"/>
  <c r="B1418" i="14"/>
  <c r="B1417" i="14"/>
  <c r="B1416" i="14"/>
  <c r="B1415" i="14"/>
  <c r="B1414" i="14"/>
  <c r="B1413" i="14"/>
  <c r="B1412" i="14"/>
  <c r="B1411" i="14"/>
  <c r="B1410" i="14"/>
  <c r="B1409" i="14"/>
  <c r="B1408" i="14"/>
  <c r="B1407" i="14"/>
  <c r="B1406" i="14"/>
  <c r="B1405" i="14"/>
  <c r="B1404" i="14"/>
  <c r="B1403" i="14"/>
  <c r="B1402" i="14"/>
  <c r="B1401" i="14"/>
  <c r="B1400" i="14"/>
  <c r="B1399" i="14"/>
  <c r="B1398" i="14"/>
  <c r="B1397" i="14"/>
  <c r="B1396" i="14"/>
  <c r="B1395" i="14"/>
  <c r="B1394" i="14"/>
  <c r="B1393" i="14"/>
  <c r="B1392" i="14"/>
  <c r="B1391" i="14"/>
  <c r="B1390" i="14"/>
  <c r="B1389" i="14"/>
  <c r="B1388" i="14"/>
  <c r="B1387" i="14"/>
  <c r="B1386" i="14"/>
  <c r="B1385" i="14"/>
  <c r="B1384" i="14"/>
  <c r="B1383" i="14"/>
  <c r="B1382" i="14"/>
  <c r="B1381" i="14"/>
  <c r="B1380" i="14"/>
  <c r="B1379" i="14"/>
  <c r="B1378" i="14"/>
  <c r="B1377" i="14"/>
  <c r="B1376" i="14"/>
  <c r="B1375" i="14"/>
  <c r="B1374" i="14"/>
  <c r="B1373" i="14"/>
  <c r="B1372" i="14"/>
  <c r="B1371" i="14"/>
  <c r="B1370" i="14"/>
  <c r="B1369" i="14"/>
  <c r="B1368" i="14"/>
  <c r="B1367" i="14"/>
  <c r="B1366" i="14"/>
  <c r="B1365" i="14"/>
  <c r="B1364" i="14"/>
  <c r="B1363" i="14"/>
  <c r="B1362" i="14"/>
  <c r="B1361" i="14"/>
  <c r="B1360" i="14"/>
  <c r="B1359" i="14"/>
  <c r="B1358" i="14"/>
  <c r="B1357" i="14"/>
  <c r="B1356" i="14"/>
  <c r="B1355" i="14"/>
  <c r="B1354" i="14"/>
  <c r="B1353" i="14"/>
  <c r="B1352" i="14"/>
  <c r="B1351" i="14"/>
  <c r="B1350" i="14"/>
  <c r="B1349" i="14"/>
  <c r="B1348" i="14"/>
  <c r="B1347" i="14"/>
  <c r="B1346" i="14"/>
  <c r="B1345" i="14"/>
  <c r="B1344" i="14"/>
  <c r="B1343" i="14"/>
  <c r="B1342" i="14"/>
  <c r="B1341" i="14"/>
  <c r="B1340" i="14"/>
  <c r="B1339" i="14"/>
  <c r="B1338" i="14"/>
  <c r="B1337" i="14"/>
  <c r="B1336" i="14"/>
  <c r="B1335" i="14"/>
  <c r="B1334" i="14"/>
  <c r="B1333" i="14"/>
  <c r="B1332" i="14"/>
  <c r="B1331" i="14"/>
  <c r="B1330" i="14"/>
  <c r="B1329" i="14"/>
  <c r="B1328" i="14"/>
  <c r="B1327" i="14"/>
  <c r="B1326" i="14"/>
  <c r="B1325" i="14"/>
  <c r="B1324" i="14"/>
  <c r="B1323" i="14"/>
  <c r="B1322" i="14"/>
  <c r="B1321" i="14"/>
  <c r="B1320" i="14"/>
  <c r="B1319" i="14"/>
  <c r="B1318" i="14"/>
  <c r="B1317" i="14"/>
  <c r="B1316" i="14"/>
  <c r="B1315" i="14"/>
  <c r="B1314" i="14"/>
  <c r="B1313" i="14"/>
  <c r="B1312" i="14"/>
  <c r="B1311" i="14"/>
  <c r="B1310" i="14"/>
  <c r="B1309" i="14"/>
  <c r="B1308" i="14"/>
  <c r="B1307" i="14"/>
  <c r="B1306" i="14"/>
  <c r="B1305" i="14"/>
  <c r="B1304" i="14"/>
  <c r="B1303" i="14"/>
  <c r="B1302" i="14"/>
  <c r="B1301" i="14"/>
  <c r="B1300" i="14"/>
  <c r="B1299" i="14"/>
  <c r="B1298" i="14"/>
  <c r="B1297" i="14"/>
  <c r="B1296" i="14"/>
  <c r="B1295" i="14"/>
  <c r="B1294" i="14"/>
  <c r="B1293" i="14"/>
  <c r="B1292" i="14"/>
  <c r="B1291" i="14"/>
  <c r="B1290" i="14"/>
  <c r="B1289" i="14"/>
  <c r="B1288" i="14"/>
  <c r="B1287" i="14"/>
  <c r="B1286" i="14"/>
  <c r="B1285" i="14"/>
  <c r="B1284" i="14"/>
  <c r="B1283" i="14"/>
  <c r="B1282" i="14"/>
  <c r="B1281" i="14"/>
  <c r="B1280" i="14"/>
  <c r="B1279" i="14"/>
  <c r="B1278" i="14"/>
  <c r="B1277" i="14"/>
  <c r="B1276" i="14"/>
  <c r="B1275" i="14"/>
  <c r="B1274" i="14"/>
  <c r="B1273" i="14"/>
  <c r="B1272" i="14"/>
  <c r="B1271" i="14"/>
  <c r="B1270" i="14"/>
  <c r="B1269" i="14"/>
  <c r="B1268" i="14"/>
  <c r="B1267" i="14"/>
  <c r="B1266" i="14"/>
  <c r="B1265" i="14"/>
  <c r="B1264" i="14"/>
  <c r="B1263" i="14"/>
  <c r="B1262" i="14"/>
  <c r="B1261" i="14"/>
  <c r="B1260" i="14"/>
  <c r="B1259" i="14"/>
  <c r="B1258" i="14"/>
  <c r="B1257" i="14"/>
  <c r="B1256" i="14"/>
  <c r="B1255" i="14"/>
  <c r="B1254" i="14"/>
  <c r="B1253" i="14"/>
  <c r="B1252" i="14"/>
  <c r="B1251" i="14"/>
  <c r="B1250" i="14"/>
  <c r="B1249" i="14"/>
  <c r="B1248" i="14"/>
  <c r="B1247" i="14"/>
  <c r="B1246" i="14"/>
  <c r="B1245" i="14"/>
  <c r="B1244" i="14"/>
  <c r="B1243" i="14"/>
  <c r="B1242" i="14"/>
  <c r="B1241" i="14"/>
  <c r="B1240" i="14"/>
  <c r="B1239" i="14"/>
  <c r="B1238" i="14"/>
  <c r="B1237" i="14"/>
  <c r="B1236" i="14"/>
  <c r="B1235" i="14"/>
  <c r="B1234" i="14"/>
  <c r="B1233" i="14"/>
  <c r="B1232" i="14"/>
  <c r="B1231" i="14"/>
  <c r="B1230" i="14"/>
  <c r="B1229" i="14"/>
  <c r="B1228" i="14"/>
  <c r="B1227" i="14"/>
  <c r="B1226" i="14"/>
  <c r="B1225" i="14"/>
  <c r="B1224" i="14"/>
  <c r="B1223" i="14"/>
  <c r="B1222" i="14"/>
  <c r="B1221" i="14"/>
  <c r="B1220" i="14"/>
  <c r="B1219" i="14"/>
  <c r="B1218" i="14"/>
  <c r="B1217" i="14"/>
  <c r="B1216" i="14"/>
  <c r="B1215" i="14"/>
  <c r="B1214" i="14"/>
  <c r="B1213" i="14"/>
  <c r="B1212" i="14"/>
  <c r="B1211" i="14"/>
  <c r="B1210" i="14"/>
  <c r="B1209" i="14"/>
  <c r="B1208" i="14"/>
  <c r="B1207" i="14"/>
  <c r="B1206" i="14"/>
  <c r="B1205" i="14"/>
  <c r="B1204" i="14"/>
  <c r="B1203" i="14"/>
  <c r="B1202" i="14"/>
  <c r="B1201" i="14"/>
  <c r="B1200" i="14"/>
  <c r="B1199" i="14"/>
  <c r="B1198" i="14"/>
  <c r="B1197" i="14"/>
  <c r="B1196" i="14"/>
  <c r="B1195" i="14"/>
  <c r="B1194" i="14"/>
  <c r="B1193" i="14"/>
  <c r="B1192" i="14"/>
  <c r="B1191" i="14"/>
  <c r="B1190" i="14"/>
  <c r="B1189" i="14"/>
  <c r="B1188" i="14"/>
  <c r="B1187" i="14"/>
  <c r="B1186" i="14"/>
  <c r="B1185" i="14"/>
  <c r="B1184" i="14"/>
  <c r="B1183" i="14"/>
  <c r="B1182" i="14"/>
  <c r="B1181" i="14"/>
  <c r="B1180" i="14"/>
  <c r="B1179" i="14"/>
  <c r="B1178" i="14"/>
  <c r="B1177" i="14"/>
  <c r="B1176" i="14"/>
  <c r="B1175" i="14"/>
  <c r="B1174" i="14"/>
  <c r="B1173" i="14"/>
  <c r="B1172" i="14"/>
  <c r="B1171" i="14"/>
  <c r="B1170" i="14"/>
  <c r="B1169" i="14"/>
  <c r="B1168" i="14"/>
  <c r="B1167" i="14"/>
  <c r="B1166" i="14"/>
  <c r="B1165" i="14"/>
  <c r="B1164" i="14"/>
  <c r="B1163" i="14"/>
  <c r="B1162" i="14"/>
  <c r="B1161" i="14"/>
  <c r="B1160" i="14"/>
  <c r="B1159" i="14"/>
  <c r="B1158" i="14"/>
  <c r="B1157" i="14"/>
  <c r="B1156" i="14"/>
  <c r="B1155" i="14"/>
  <c r="B1154" i="14"/>
  <c r="B1153" i="14"/>
  <c r="B1152" i="14"/>
  <c r="B1151" i="14"/>
  <c r="B1150" i="14"/>
  <c r="B1149" i="14"/>
  <c r="B1148" i="14"/>
  <c r="B1147" i="14"/>
  <c r="B1146" i="14"/>
  <c r="B1145" i="14"/>
  <c r="B1144" i="14"/>
  <c r="B1143" i="14"/>
  <c r="B1142" i="14"/>
  <c r="B1141" i="14"/>
  <c r="B1140" i="14"/>
  <c r="B1139" i="14"/>
  <c r="B1138" i="14"/>
  <c r="B1137" i="14"/>
  <c r="B1136" i="14"/>
  <c r="B1135" i="14"/>
  <c r="B1134" i="14"/>
  <c r="B1133" i="14"/>
  <c r="B1132" i="14"/>
  <c r="B1131" i="14"/>
  <c r="B1130" i="14"/>
  <c r="B1129" i="14"/>
  <c r="B1128" i="14"/>
  <c r="B1127" i="14"/>
  <c r="B1126" i="14"/>
  <c r="B1125" i="14"/>
  <c r="B1124" i="14"/>
  <c r="B1123" i="14"/>
  <c r="B1122" i="14"/>
  <c r="B1121" i="14"/>
  <c r="B1120" i="14"/>
  <c r="B1119" i="14"/>
  <c r="B1118" i="14"/>
  <c r="B1117" i="14"/>
  <c r="B1116" i="14"/>
  <c r="B1115" i="14"/>
  <c r="B1114" i="14"/>
  <c r="B1113" i="14"/>
  <c r="B1112" i="14"/>
  <c r="B1111" i="14"/>
  <c r="B1110" i="14"/>
  <c r="B1109" i="14"/>
  <c r="B1108" i="14"/>
  <c r="B1107" i="14"/>
  <c r="B1106" i="14"/>
  <c r="B1105" i="14"/>
  <c r="B1104" i="14"/>
  <c r="B1103" i="14"/>
  <c r="B1102" i="14"/>
  <c r="B1101" i="14"/>
  <c r="B1100" i="14"/>
  <c r="B1099" i="14"/>
  <c r="B1098" i="14"/>
  <c r="B1097" i="14"/>
  <c r="B1096" i="14"/>
  <c r="B1095" i="14"/>
  <c r="B1094" i="14"/>
  <c r="B1093" i="14"/>
  <c r="B1092" i="14"/>
  <c r="B1091" i="14"/>
  <c r="B1090" i="14"/>
  <c r="B1089" i="14"/>
  <c r="B1088" i="14"/>
  <c r="B1087" i="14"/>
  <c r="B1086" i="14"/>
  <c r="B1085" i="14"/>
  <c r="B1084" i="14"/>
  <c r="B1083" i="14"/>
  <c r="B1082" i="14"/>
  <c r="B1081" i="14"/>
  <c r="B1080" i="14"/>
  <c r="B1079" i="14"/>
  <c r="B1078" i="14"/>
  <c r="B1077" i="14"/>
  <c r="B1076" i="14"/>
  <c r="B1075" i="14"/>
  <c r="B1074" i="14"/>
  <c r="B1073" i="14"/>
  <c r="B1072" i="14"/>
  <c r="B1071" i="14"/>
  <c r="B1070" i="14"/>
  <c r="B1069" i="14"/>
  <c r="B1068" i="14"/>
  <c r="B1067" i="14"/>
  <c r="B1066" i="14"/>
  <c r="B1065" i="14"/>
  <c r="B1064" i="14"/>
  <c r="B1063" i="14"/>
  <c r="B1062" i="14"/>
  <c r="B1061" i="14"/>
  <c r="B1060" i="14"/>
  <c r="B1059" i="14"/>
  <c r="B1058" i="14"/>
  <c r="B1057" i="14"/>
  <c r="B1056" i="14"/>
  <c r="B1055" i="14"/>
  <c r="B1054" i="14"/>
  <c r="B1053" i="14"/>
  <c r="B1052" i="14"/>
  <c r="B1051" i="14"/>
  <c r="B1050" i="14"/>
  <c r="B1049" i="14"/>
  <c r="B1048" i="14"/>
  <c r="B1047" i="14"/>
  <c r="B1046" i="14"/>
  <c r="B1045" i="14"/>
  <c r="B1044" i="14"/>
  <c r="B1043" i="14"/>
  <c r="B1042" i="14"/>
  <c r="B1041" i="14"/>
  <c r="B1040" i="14"/>
  <c r="B1039" i="14"/>
  <c r="B1038" i="14"/>
  <c r="B1037" i="14"/>
  <c r="B1036" i="14"/>
  <c r="B1035" i="14"/>
  <c r="B1034" i="14"/>
  <c r="B1033" i="14"/>
  <c r="B1032" i="14"/>
  <c r="B1031" i="14"/>
  <c r="B1030" i="14"/>
  <c r="B1029" i="14"/>
  <c r="B1028" i="14"/>
  <c r="B1027" i="14"/>
  <c r="B1026" i="14"/>
  <c r="B1025" i="14"/>
  <c r="B1024" i="14"/>
  <c r="B1023" i="14"/>
  <c r="B1022" i="14"/>
  <c r="B1021" i="14"/>
  <c r="B1020" i="14"/>
  <c r="B1019" i="14"/>
  <c r="B1018" i="14"/>
  <c r="B1017" i="14"/>
  <c r="B1016" i="14"/>
  <c r="B1015" i="14"/>
  <c r="B1014" i="14"/>
  <c r="B1013" i="14"/>
  <c r="B1012" i="14"/>
  <c r="B1011" i="14"/>
  <c r="B1010" i="14"/>
  <c r="B1009" i="14"/>
  <c r="B1008" i="14"/>
  <c r="B1007" i="14"/>
  <c r="B1006" i="14"/>
  <c r="B1005" i="14"/>
  <c r="B1004" i="14"/>
  <c r="B1003" i="14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J27" i="14"/>
  <c r="B27" i="14"/>
  <c r="J26" i="14"/>
  <c r="B26" i="14"/>
  <c r="J25" i="14"/>
  <c r="B25" i="14"/>
  <c r="B24" i="14"/>
  <c r="B23" i="14"/>
  <c r="J22" i="14"/>
  <c r="B22" i="14"/>
  <c r="B21" i="14"/>
  <c r="J20" i="14"/>
  <c r="B20" i="14"/>
  <c r="B19" i="14"/>
  <c r="B18" i="14"/>
  <c r="B17" i="14"/>
  <c r="B16" i="14"/>
  <c r="B15" i="14"/>
  <c r="B14" i="14"/>
  <c r="J13" i="14"/>
  <c r="J15" i="14" s="1"/>
  <c r="B13" i="14"/>
  <c r="B12" i="14"/>
  <c r="B11" i="14"/>
  <c r="B10" i="14"/>
  <c r="B9" i="14"/>
  <c r="B8" i="14"/>
  <c r="B7" i="14"/>
  <c r="B6" i="14"/>
  <c r="B5" i="14"/>
  <c r="B4" i="14"/>
  <c r="B2445" i="12"/>
  <c r="B2444" i="12"/>
  <c r="B2443" i="12"/>
  <c r="B2442" i="12"/>
  <c r="B2441" i="12"/>
  <c r="B2440" i="12"/>
  <c r="B2439" i="12"/>
  <c r="B2438" i="12"/>
  <c r="B2437" i="12"/>
  <c r="B2436" i="12"/>
  <c r="B2435" i="12"/>
  <c r="B2434" i="12"/>
  <c r="B2433" i="12"/>
  <c r="B2432" i="12"/>
  <c r="B2431" i="12"/>
  <c r="B2430" i="12"/>
  <c r="B2429" i="12"/>
  <c r="B2428" i="12"/>
  <c r="B2427" i="12"/>
  <c r="B2426" i="12"/>
  <c r="B2425" i="12"/>
  <c r="B2424" i="12"/>
  <c r="B2423" i="12"/>
  <c r="B2422" i="12"/>
  <c r="B2421" i="12"/>
  <c r="B2420" i="12"/>
  <c r="B2419" i="12"/>
  <c r="B2418" i="12"/>
  <c r="B2417" i="12"/>
  <c r="B2416" i="12"/>
  <c r="B2415" i="12"/>
  <c r="B2414" i="12"/>
  <c r="B2413" i="12"/>
  <c r="B2412" i="12"/>
  <c r="B2411" i="12"/>
  <c r="B2410" i="12"/>
  <c r="B2409" i="12"/>
  <c r="B2408" i="12"/>
  <c r="B2407" i="12"/>
  <c r="B2406" i="12"/>
  <c r="B2405" i="12"/>
  <c r="B2404" i="12"/>
  <c r="B2403" i="12"/>
  <c r="B2402" i="12"/>
  <c r="B2401" i="12"/>
  <c r="B2400" i="12"/>
  <c r="B2399" i="12"/>
  <c r="B2398" i="12"/>
  <c r="B2397" i="12"/>
  <c r="B2396" i="12"/>
  <c r="B2395" i="12"/>
  <c r="B2394" i="12"/>
  <c r="B2393" i="12"/>
  <c r="B2392" i="12"/>
  <c r="B2391" i="12"/>
  <c r="B2390" i="12"/>
  <c r="B2389" i="12"/>
  <c r="B2388" i="12"/>
  <c r="B2387" i="12"/>
  <c r="B2386" i="12"/>
  <c r="B2385" i="12"/>
  <c r="B2384" i="12"/>
  <c r="B2383" i="12"/>
  <c r="B2382" i="12"/>
  <c r="B2381" i="12"/>
  <c r="B2380" i="12"/>
  <c r="B2379" i="12"/>
  <c r="B2378" i="12"/>
  <c r="B2377" i="12"/>
  <c r="B2376" i="12"/>
  <c r="B2375" i="12"/>
  <c r="B2374" i="12"/>
  <c r="B2373" i="12"/>
  <c r="B2372" i="12"/>
  <c r="B2371" i="12"/>
  <c r="B2370" i="12"/>
  <c r="B2369" i="12"/>
  <c r="B2368" i="12"/>
  <c r="B2367" i="12"/>
  <c r="B2366" i="12"/>
  <c r="B2365" i="12"/>
  <c r="B2364" i="12"/>
  <c r="B2363" i="12"/>
  <c r="B2362" i="12"/>
  <c r="B2361" i="12"/>
  <c r="B2360" i="12"/>
  <c r="B2359" i="12"/>
  <c r="B2358" i="12"/>
  <c r="B2357" i="12"/>
  <c r="B2356" i="12"/>
  <c r="B2355" i="12"/>
  <c r="B2354" i="12"/>
  <c r="B2353" i="12"/>
  <c r="B2352" i="12"/>
  <c r="B2351" i="12"/>
  <c r="B2350" i="12"/>
  <c r="B2349" i="12"/>
  <c r="B2348" i="12"/>
  <c r="B2347" i="12"/>
  <c r="B2346" i="12"/>
  <c r="B2345" i="12"/>
  <c r="B2344" i="12"/>
  <c r="B2343" i="12"/>
  <c r="B2342" i="12"/>
  <c r="B2341" i="12"/>
  <c r="B2340" i="12"/>
  <c r="B2339" i="12"/>
  <c r="B2338" i="12"/>
  <c r="B2337" i="12"/>
  <c r="B2336" i="12"/>
  <c r="B2335" i="12"/>
  <c r="B2334" i="12"/>
  <c r="B2333" i="12"/>
  <c r="B2332" i="12"/>
  <c r="B2331" i="12"/>
  <c r="B2330" i="12"/>
  <c r="B2329" i="12"/>
  <c r="B2328" i="12"/>
  <c r="B2327" i="12"/>
  <c r="B2326" i="12"/>
  <c r="B2325" i="12"/>
  <c r="B2324" i="12"/>
  <c r="B2323" i="12"/>
  <c r="B2322" i="12"/>
  <c r="B2321" i="12"/>
  <c r="B2320" i="12"/>
  <c r="B2319" i="12"/>
  <c r="B2318" i="12"/>
  <c r="B2317" i="12"/>
  <c r="B2316" i="12"/>
  <c r="B2315" i="12"/>
  <c r="B2314" i="12"/>
  <c r="B2313" i="12"/>
  <c r="B2312" i="12"/>
  <c r="B2311" i="12"/>
  <c r="B2310" i="12"/>
  <c r="B2309" i="12"/>
  <c r="B2308" i="12"/>
  <c r="B2307" i="12"/>
  <c r="B2306" i="12"/>
  <c r="B2305" i="12"/>
  <c r="B2304" i="12"/>
  <c r="B2303" i="12"/>
  <c r="B2302" i="12"/>
  <c r="B2301" i="12"/>
  <c r="B2300" i="12"/>
  <c r="B2299" i="12"/>
  <c r="B2298" i="12"/>
  <c r="B2297" i="12"/>
  <c r="B2296" i="12"/>
  <c r="B2295" i="12"/>
  <c r="B2294" i="12"/>
  <c r="B2293" i="12"/>
  <c r="B2292" i="12"/>
  <c r="B2291" i="12"/>
  <c r="B2290" i="12"/>
  <c r="B2289" i="12"/>
  <c r="B2288" i="12"/>
  <c r="B2287" i="12"/>
  <c r="B2286" i="12"/>
  <c r="B2285" i="12"/>
  <c r="B2284" i="12"/>
  <c r="B2283" i="12"/>
  <c r="B2282" i="12"/>
  <c r="B2281" i="12"/>
  <c r="B2280" i="12"/>
  <c r="B2279" i="12"/>
  <c r="B2278" i="12"/>
  <c r="B2277" i="12"/>
  <c r="B2276" i="12"/>
  <c r="B2275" i="12"/>
  <c r="B2274" i="12"/>
  <c r="B2273" i="12"/>
  <c r="B2272" i="12"/>
  <c r="B2271" i="12"/>
  <c r="B2270" i="12"/>
  <c r="B2269" i="12"/>
  <c r="B2268" i="12"/>
  <c r="B2267" i="12"/>
  <c r="B2266" i="12"/>
  <c r="B2265" i="12"/>
  <c r="B2264" i="12"/>
  <c r="B2263" i="12"/>
  <c r="B2262" i="12"/>
  <c r="B2261" i="12"/>
  <c r="B2260" i="12"/>
  <c r="B2259" i="12"/>
  <c r="B2258" i="12"/>
  <c r="B2257" i="12"/>
  <c r="B2256" i="12"/>
  <c r="B2255" i="12"/>
  <c r="B2254" i="12"/>
  <c r="B2253" i="12"/>
  <c r="B2252" i="12"/>
  <c r="B2251" i="12"/>
  <c r="B2250" i="12"/>
  <c r="B2249" i="12"/>
  <c r="B2248" i="12"/>
  <c r="B2247" i="12"/>
  <c r="B2246" i="12"/>
  <c r="B2245" i="12"/>
  <c r="B2244" i="12"/>
  <c r="B2243" i="12"/>
  <c r="B2242" i="12"/>
  <c r="B2241" i="12"/>
  <c r="B2240" i="12"/>
  <c r="B2239" i="12"/>
  <c r="B2238" i="12"/>
  <c r="B2237" i="12"/>
  <c r="B2236" i="12"/>
  <c r="B2235" i="12"/>
  <c r="B2234" i="12"/>
  <c r="B2233" i="12"/>
  <c r="B2232" i="12"/>
  <c r="B2231" i="12"/>
  <c r="B2230" i="12"/>
  <c r="B2229" i="12"/>
  <c r="B2228" i="12"/>
  <c r="B2227" i="12"/>
  <c r="B2226" i="12"/>
  <c r="B2225" i="12"/>
  <c r="B2224" i="12"/>
  <c r="B2223" i="12"/>
  <c r="B2222" i="12"/>
  <c r="B2221" i="12"/>
  <c r="B2220" i="12"/>
  <c r="B2219" i="12"/>
  <c r="B2218" i="12"/>
  <c r="B2217" i="12"/>
  <c r="B2216" i="12"/>
  <c r="B2215" i="12"/>
  <c r="B2214" i="12"/>
  <c r="B2213" i="12"/>
  <c r="B2212" i="12"/>
  <c r="B2211" i="12"/>
  <c r="B2210" i="12"/>
  <c r="B2209" i="12"/>
  <c r="B2208" i="12"/>
  <c r="B2207" i="12"/>
  <c r="B2206" i="12"/>
  <c r="B2205" i="12"/>
  <c r="B2204" i="12"/>
  <c r="B2203" i="12"/>
  <c r="B2202" i="12"/>
  <c r="B2201" i="12"/>
  <c r="B2200" i="12"/>
  <c r="B2199" i="12"/>
  <c r="B2198" i="12"/>
  <c r="B2197" i="12"/>
  <c r="B2196" i="12"/>
  <c r="B2195" i="12"/>
  <c r="B2194" i="12"/>
  <c r="B2193" i="12"/>
  <c r="B2192" i="12"/>
  <c r="B2191" i="12"/>
  <c r="B2190" i="12"/>
  <c r="B2189" i="12"/>
  <c r="B2188" i="12"/>
  <c r="B2187" i="12"/>
  <c r="B2186" i="12"/>
  <c r="B2185" i="12"/>
  <c r="B2184" i="12"/>
  <c r="B2183" i="12"/>
  <c r="B2182" i="12"/>
  <c r="B2181" i="12"/>
  <c r="B2180" i="12"/>
  <c r="B2179" i="12"/>
  <c r="B2178" i="12"/>
  <c r="B2177" i="12"/>
  <c r="B2176" i="12"/>
  <c r="B2175" i="12"/>
  <c r="B2174" i="12"/>
  <c r="B2173" i="12"/>
  <c r="B2172" i="12"/>
  <c r="B2171" i="12"/>
  <c r="B2170" i="12"/>
  <c r="B2169" i="12"/>
  <c r="B2168" i="12"/>
  <c r="B2167" i="12"/>
  <c r="B2166" i="12"/>
  <c r="B2165" i="12"/>
  <c r="B2164" i="12"/>
  <c r="B2163" i="12"/>
  <c r="B2162" i="12"/>
  <c r="B2161" i="12"/>
  <c r="B2160" i="12"/>
  <c r="B2159" i="12"/>
  <c r="B2158" i="12"/>
  <c r="B2157" i="12"/>
  <c r="B2156" i="12"/>
  <c r="B2155" i="12"/>
  <c r="B2154" i="12"/>
  <c r="B2153" i="12"/>
  <c r="B2152" i="12"/>
  <c r="B2151" i="12"/>
  <c r="B2150" i="12"/>
  <c r="B2149" i="12"/>
  <c r="B2148" i="12"/>
  <c r="B2147" i="12"/>
  <c r="B2146" i="12"/>
  <c r="B2145" i="12"/>
  <c r="B2144" i="12"/>
  <c r="B2143" i="12"/>
  <c r="B2142" i="12"/>
  <c r="B2141" i="12"/>
  <c r="B2140" i="12"/>
  <c r="B2139" i="12"/>
  <c r="B2138" i="12"/>
  <c r="B2137" i="12"/>
  <c r="B2136" i="12"/>
  <c r="B2135" i="12"/>
  <c r="B2134" i="12"/>
  <c r="B2133" i="12"/>
  <c r="B2132" i="12"/>
  <c r="B2131" i="12"/>
  <c r="B2130" i="12"/>
  <c r="B2129" i="12"/>
  <c r="B2128" i="12"/>
  <c r="B2127" i="12"/>
  <c r="B2126" i="12"/>
  <c r="B2125" i="12"/>
  <c r="B2124" i="12"/>
  <c r="B2123" i="12"/>
  <c r="B2122" i="12"/>
  <c r="B2121" i="12"/>
  <c r="B2120" i="12"/>
  <c r="B2119" i="12"/>
  <c r="B2118" i="12"/>
  <c r="B2117" i="12"/>
  <c r="B2116" i="12"/>
  <c r="B2115" i="12"/>
  <c r="B2114" i="12"/>
  <c r="B2113" i="12"/>
  <c r="B2112" i="12"/>
  <c r="B2111" i="12"/>
  <c r="B2110" i="12"/>
  <c r="B2109" i="12"/>
  <c r="B2108" i="12"/>
  <c r="B2107" i="12"/>
  <c r="B2106" i="12"/>
  <c r="B2105" i="12"/>
  <c r="B2104" i="12"/>
  <c r="B2103" i="12"/>
  <c r="B2102" i="12"/>
  <c r="B2101" i="12"/>
  <c r="B2100" i="12"/>
  <c r="B2099" i="12"/>
  <c r="B2098" i="12"/>
  <c r="B2097" i="12"/>
  <c r="B2096" i="12"/>
  <c r="B2095" i="12"/>
  <c r="B2094" i="12"/>
  <c r="B2093" i="12"/>
  <c r="B2092" i="12"/>
  <c r="B2091" i="12"/>
  <c r="B2090" i="12"/>
  <c r="B2089" i="12"/>
  <c r="B2088" i="12"/>
  <c r="B2087" i="12"/>
  <c r="B2086" i="12"/>
  <c r="B2085" i="12"/>
  <c r="B2084" i="12"/>
  <c r="B2083" i="12"/>
  <c r="B2082" i="12"/>
  <c r="B2081" i="12"/>
  <c r="B2080" i="12"/>
  <c r="B2079" i="12"/>
  <c r="B2078" i="12"/>
  <c r="B2077" i="12"/>
  <c r="B2076" i="12"/>
  <c r="B2075" i="12"/>
  <c r="B2074" i="12"/>
  <c r="B2073" i="12"/>
  <c r="B2072" i="12"/>
  <c r="B2071" i="12"/>
  <c r="B2070" i="12"/>
  <c r="B2069" i="12"/>
  <c r="B2068" i="12"/>
  <c r="B2067" i="12"/>
  <c r="B2066" i="12"/>
  <c r="B2065" i="12"/>
  <c r="B2064" i="12"/>
  <c r="B2063" i="12"/>
  <c r="B2062" i="12"/>
  <c r="B2061" i="12"/>
  <c r="B2060" i="12"/>
  <c r="B2059" i="12"/>
  <c r="B2058" i="12"/>
  <c r="B2057" i="12"/>
  <c r="B2056" i="12"/>
  <c r="B2055" i="12"/>
  <c r="B2054" i="12"/>
  <c r="B2053" i="12"/>
  <c r="B2052" i="12"/>
  <c r="B2051" i="12"/>
  <c r="B2050" i="12"/>
  <c r="B2049" i="12"/>
  <c r="B2048" i="12"/>
  <c r="B2047" i="12"/>
  <c r="B2046" i="12"/>
  <c r="B2045" i="12"/>
  <c r="B2044" i="12"/>
  <c r="B2043" i="12"/>
  <c r="B2042" i="12"/>
  <c r="B2041" i="12"/>
  <c r="B2040" i="12"/>
  <c r="B2039" i="12"/>
  <c r="B2038" i="12"/>
  <c r="B2037" i="12"/>
  <c r="B2036" i="12"/>
  <c r="B2035" i="12"/>
  <c r="B2034" i="12"/>
  <c r="B2033" i="12"/>
  <c r="B2032" i="12"/>
  <c r="B2031" i="12"/>
  <c r="B2030" i="12"/>
  <c r="B2029" i="12"/>
  <c r="B2028" i="12"/>
  <c r="B2027" i="12"/>
  <c r="B2026" i="12"/>
  <c r="B2025" i="12"/>
  <c r="B2024" i="12"/>
  <c r="B2023" i="12"/>
  <c r="B2022" i="12"/>
  <c r="B2021" i="12"/>
  <c r="B2020" i="12"/>
  <c r="B2019" i="12"/>
  <c r="B2018" i="12"/>
  <c r="B2017" i="12"/>
  <c r="B2016" i="12"/>
  <c r="B2015" i="12"/>
  <c r="B2014" i="12"/>
  <c r="B2013" i="12"/>
  <c r="B2012" i="12"/>
  <c r="B2011" i="12"/>
  <c r="B2010" i="12"/>
  <c r="B2009" i="12"/>
  <c r="B2008" i="12"/>
  <c r="B2007" i="12"/>
  <c r="B2006" i="12"/>
  <c r="B2005" i="12"/>
  <c r="B2004" i="12"/>
  <c r="B2003" i="12"/>
  <c r="B2002" i="12"/>
  <c r="B2001" i="12"/>
  <c r="B2000" i="12"/>
  <c r="B1999" i="12"/>
  <c r="B1998" i="12"/>
  <c r="B1997" i="12"/>
  <c r="B1996" i="12"/>
  <c r="B1995" i="12"/>
  <c r="B1994" i="12"/>
  <c r="B1993" i="12"/>
  <c r="B1992" i="12"/>
  <c r="B1991" i="12"/>
  <c r="B1990" i="12"/>
  <c r="B1989" i="12"/>
  <c r="B1988" i="12"/>
  <c r="B1987" i="12"/>
  <c r="B1986" i="12"/>
  <c r="B1985" i="12"/>
  <c r="B1984" i="12"/>
  <c r="B1983" i="12"/>
  <c r="B1982" i="12"/>
  <c r="B1981" i="12"/>
  <c r="B1980" i="12"/>
  <c r="B1979" i="12"/>
  <c r="B1978" i="12"/>
  <c r="B1977" i="12"/>
  <c r="B1976" i="12"/>
  <c r="B1975" i="12"/>
  <c r="B1974" i="12"/>
  <c r="B1973" i="12"/>
  <c r="B1972" i="12"/>
  <c r="B1971" i="12"/>
  <c r="B1970" i="12"/>
  <c r="B1969" i="12"/>
  <c r="B1968" i="12"/>
  <c r="B1967" i="12"/>
  <c r="B1966" i="12"/>
  <c r="B1965" i="12"/>
  <c r="B1964" i="12"/>
  <c r="B1963" i="12"/>
  <c r="B1962" i="12"/>
  <c r="B1961" i="12"/>
  <c r="B1960" i="12"/>
  <c r="B1959" i="12"/>
  <c r="B1958" i="12"/>
  <c r="B1957" i="12"/>
  <c r="B1956" i="12"/>
  <c r="B1955" i="12"/>
  <c r="B1954" i="12"/>
  <c r="B1953" i="12"/>
  <c r="B1952" i="12"/>
  <c r="B1951" i="12"/>
  <c r="B1950" i="12"/>
  <c r="B1949" i="12"/>
  <c r="B1948" i="12"/>
  <c r="B1947" i="12"/>
  <c r="B1946" i="12"/>
  <c r="B1945" i="12"/>
  <c r="B1944" i="12"/>
  <c r="B1943" i="12"/>
  <c r="B1942" i="12"/>
  <c r="B1941" i="12"/>
  <c r="B1940" i="12"/>
  <c r="B1939" i="12"/>
  <c r="B1938" i="12"/>
  <c r="B1937" i="12"/>
  <c r="B1936" i="12"/>
  <c r="B1935" i="12"/>
  <c r="B1934" i="12"/>
  <c r="B1933" i="12"/>
  <c r="B1932" i="12"/>
  <c r="B1931" i="12"/>
  <c r="B1930" i="12"/>
  <c r="B1929" i="12"/>
  <c r="B1928" i="12"/>
  <c r="B1927" i="12"/>
  <c r="B1926" i="12"/>
  <c r="B1925" i="12"/>
  <c r="B1924" i="12"/>
  <c r="B1923" i="12"/>
  <c r="B1922" i="12"/>
  <c r="B1921" i="12"/>
  <c r="B1920" i="12"/>
  <c r="B1919" i="12"/>
  <c r="B1918" i="12"/>
  <c r="B1917" i="12"/>
  <c r="B1916" i="12"/>
  <c r="B1915" i="12"/>
  <c r="B1914" i="12"/>
  <c r="B1913" i="12"/>
  <c r="B1912" i="12"/>
  <c r="B1911" i="12"/>
  <c r="B1910" i="12"/>
  <c r="B1909" i="12"/>
  <c r="B1908" i="12"/>
  <c r="B1907" i="12"/>
  <c r="B1906" i="12"/>
  <c r="B1905" i="12"/>
  <c r="B1904" i="12"/>
  <c r="B1903" i="12"/>
  <c r="B1902" i="12"/>
  <c r="B1901" i="12"/>
  <c r="B1900" i="12"/>
  <c r="B1899" i="12"/>
  <c r="B1898" i="12"/>
  <c r="B1897" i="12"/>
  <c r="B1896" i="12"/>
  <c r="B1895" i="12"/>
  <c r="B1894" i="12"/>
  <c r="B1893" i="12"/>
  <c r="B1892" i="12"/>
  <c r="B1891" i="12"/>
  <c r="B1890" i="12"/>
  <c r="B1889" i="12"/>
  <c r="B1888" i="12"/>
  <c r="B1887" i="12"/>
  <c r="B1886" i="12"/>
  <c r="B1885" i="12"/>
  <c r="B1884" i="12"/>
  <c r="B1883" i="12"/>
  <c r="B1882" i="12"/>
  <c r="B1881" i="12"/>
  <c r="B1880" i="12"/>
  <c r="B1879" i="12"/>
  <c r="B1878" i="12"/>
  <c r="B1877" i="12"/>
  <c r="B1876" i="12"/>
  <c r="B1875" i="12"/>
  <c r="B1874" i="12"/>
  <c r="B1873" i="12"/>
  <c r="B1872" i="12"/>
  <c r="B1871" i="12"/>
  <c r="B1870" i="12"/>
  <c r="B1869" i="12"/>
  <c r="B1868" i="12"/>
  <c r="B1867" i="12"/>
  <c r="B1866" i="12"/>
  <c r="B1865" i="12"/>
  <c r="B1864" i="12"/>
  <c r="B1863" i="12"/>
  <c r="B1862" i="12"/>
  <c r="B1861" i="12"/>
  <c r="B1860" i="12"/>
  <c r="B1859" i="12"/>
  <c r="B1858" i="12"/>
  <c r="B1857" i="12"/>
  <c r="B1856" i="12"/>
  <c r="B1855" i="12"/>
  <c r="B1854" i="12"/>
  <c r="B1853" i="12"/>
  <c r="B1852" i="12"/>
  <c r="B1851" i="12"/>
  <c r="B1850" i="12"/>
  <c r="B1849" i="12"/>
  <c r="B1848" i="12"/>
  <c r="B1847" i="12"/>
  <c r="B1846" i="12"/>
  <c r="B1845" i="12"/>
  <c r="B1844" i="12"/>
  <c r="B1843" i="12"/>
  <c r="B1842" i="12"/>
  <c r="B1841" i="12"/>
  <c r="B1840" i="12"/>
  <c r="B1839" i="12"/>
  <c r="B1838" i="12"/>
  <c r="B1837" i="12"/>
  <c r="B1836" i="12"/>
  <c r="B1835" i="12"/>
  <c r="B1834" i="12"/>
  <c r="B1833" i="12"/>
  <c r="B1832" i="12"/>
  <c r="B1831" i="12"/>
  <c r="B1830" i="12"/>
  <c r="B1829" i="12"/>
  <c r="B1828" i="12"/>
  <c r="B1827" i="12"/>
  <c r="B1826" i="12"/>
  <c r="B1825" i="12"/>
  <c r="B1824" i="12"/>
  <c r="B1823" i="12"/>
  <c r="B1822" i="12"/>
  <c r="B1821" i="12"/>
  <c r="B1820" i="12"/>
  <c r="B1819" i="12"/>
  <c r="B1818" i="12"/>
  <c r="B1817" i="12"/>
  <c r="B1816" i="12"/>
  <c r="B1815" i="12"/>
  <c r="B1814" i="12"/>
  <c r="B1813" i="12"/>
  <c r="B1812" i="12"/>
  <c r="B1811" i="12"/>
  <c r="B1810" i="12"/>
  <c r="B1809" i="12"/>
  <c r="B1808" i="12"/>
  <c r="B1807" i="12"/>
  <c r="B1806" i="12"/>
  <c r="B1805" i="12"/>
  <c r="B1804" i="12"/>
  <c r="B1803" i="12"/>
  <c r="B1802" i="12"/>
  <c r="B1801" i="12"/>
  <c r="B1800" i="12"/>
  <c r="B1799" i="12"/>
  <c r="B1798" i="12"/>
  <c r="B1797" i="12"/>
  <c r="B1796" i="12"/>
  <c r="B1795" i="12"/>
  <c r="B1794" i="12"/>
  <c r="B1793" i="12"/>
  <c r="B1792" i="12"/>
  <c r="B1791" i="12"/>
  <c r="B1790" i="12"/>
  <c r="B1789" i="12"/>
  <c r="B1788" i="12"/>
  <c r="B1787" i="12"/>
  <c r="B1786" i="12"/>
  <c r="B1785" i="12"/>
  <c r="B1784" i="12"/>
  <c r="B1783" i="12"/>
  <c r="B1782" i="12"/>
  <c r="B1781" i="12"/>
  <c r="B1780" i="12"/>
  <c r="B1779" i="12"/>
  <c r="B1778" i="12"/>
  <c r="B1777" i="12"/>
  <c r="B1776" i="12"/>
  <c r="B1775" i="12"/>
  <c r="B1774" i="12"/>
  <c r="B1773" i="12"/>
  <c r="B1772" i="12"/>
  <c r="B1771" i="12"/>
  <c r="B1770" i="12"/>
  <c r="B1769" i="12"/>
  <c r="B1768" i="12"/>
  <c r="B1767" i="12"/>
  <c r="B1766" i="12"/>
  <c r="B1765" i="12"/>
  <c r="B1764" i="12"/>
  <c r="B1763" i="12"/>
  <c r="B1762" i="12"/>
  <c r="B1761" i="12"/>
  <c r="B1760" i="12"/>
  <c r="B1759" i="12"/>
  <c r="B1758" i="12"/>
  <c r="B1757" i="12"/>
  <c r="B1756" i="12"/>
  <c r="B1755" i="12"/>
  <c r="B1754" i="12"/>
  <c r="B1753" i="12"/>
  <c r="B1752" i="12"/>
  <c r="B1751" i="12"/>
  <c r="B1750" i="12"/>
  <c r="B1749" i="12"/>
  <c r="B1748" i="12"/>
  <c r="B1747" i="12"/>
  <c r="B1746" i="12"/>
  <c r="B1745" i="12"/>
  <c r="B1744" i="12"/>
  <c r="B1743" i="12"/>
  <c r="B1742" i="12"/>
  <c r="B1741" i="12"/>
  <c r="B1740" i="12"/>
  <c r="B1739" i="12"/>
  <c r="B1738" i="12"/>
  <c r="B1737" i="12"/>
  <c r="B1736" i="12"/>
  <c r="B1735" i="12"/>
  <c r="B1734" i="12"/>
  <c r="B1733" i="12"/>
  <c r="B1732" i="12"/>
  <c r="B1731" i="12"/>
  <c r="B1730" i="12"/>
  <c r="B1729" i="12"/>
  <c r="B1728" i="12"/>
  <c r="B1727" i="12"/>
  <c r="B1726" i="12"/>
  <c r="B1725" i="12"/>
  <c r="B1724" i="12"/>
  <c r="B1723" i="12"/>
  <c r="B1722" i="12"/>
  <c r="B1721" i="12"/>
  <c r="B1720" i="12"/>
  <c r="B1719" i="12"/>
  <c r="B1718" i="12"/>
  <c r="B1717" i="12"/>
  <c r="B1716" i="12"/>
  <c r="B1715" i="12"/>
  <c r="B1714" i="12"/>
  <c r="B1713" i="12"/>
  <c r="B1712" i="12"/>
  <c r="B1711" i="12"/>
  <c r="B1710" i="12"/>
  <c r="B1709" i="12"/>
  <c r="B1708" i="12"/>
  <c r="B1707" i="12"/>
  <c r="B1706" i="12"/>
  <c r="B1705" i="12"/>
  <c r="B1704" i="12"/>
  <c r="B1703" i="12"/>
  <c r="B1702" i="12"/>
  <c r="B1701" i="12"/>
  <c r="B1700" i="12"/>
  <c r="B1699" i="12"/>
  <c r="B1698" i="12"/>
  <c r="B1697" i="12"/>
  <c r="B1696" i="12"/>
  <c r="B1695" i="12"/>
  <c r="B1694" i="12"/>
  <c r="B1693" i="12"/>
  <c r="B1692" i="12"/>
  <c r="B1691" i="12"/>
  <c r="B1690" i="12"/>
  <c r="B1689" i="12"/>
  <c r="B1688" i="12"/>
  <c r="B1687" i="12"/>
  <c r="B1686" i="12"/>
  <c r="B1685" i="12"/>
  <c r="B1684" i="12"/>
  <c r="B1683" i="12"/>
  <c r="B1682" i="12"/>
  <c r="B1681" i="12"/>
  <c r="B1680" i="12"/>
  <c r="B1679" i="12"/>
  <c r="B1678" i="12"/>
  <c r="B1677" i="12"/>
  <c r="B1676" i="12"/>
  <c r="B1675" i="12"/>
  <c r="B1674" i="12"/>
  <c r="B1673" i="12"/>
  <c r="B1672" i="12"/>
  <c r="B1671" i="12"/>
  <c r="B1670" i="12"/>
  <c r="B1669" i="12"/>
  <c r="B1668" i="12"/>
  <c r="B1667" i="12"/>
  <c r="B1666" i="12"/>
  <c r="B1665" i="12"/>
  <c r="B1664" i="12"/>
  <c r="B1663" i="12"/>
  <c r="B1662" i="12"/>
  <c r="B1661" i="12"/>
  <c r="B1660" i="12"/>
  <c r="B1659" i="12"/>
  <c r="B1658" i="12"/>
  <c r="B1657" i="12"/>
  <c r="B1656" i="12"/>
  <c r="B1655" i="12"/>
  <c r="B1654" i="12"/>
  <c r="B1653" i="12"/>
  <c r="B1652" i="12"/>
  <c r="B1651" i="12"/>
  <c r="B1650" i="12"/>
  <c r="B1649" i="12"/>
  <c r="B1648" i="12"/>
  <c r="B1647" i="12"/>
  <c r="B1646" i="12"/>
  <c r="B1645" i="12"/>
  <c r="B1644" i="12"/>
  <c r="B1643" i="12"/>
  <c r="B1642" i="12"/>
  <c r="B1641" i="12"/>
  <c r="B1640" i="12"/>
  <c r="B1639" i="12"/>
  <c r="B1638" i="12"/>
  <c r="B1637" i="12"/>
  <c r="B1636" i="12"/>
  <c r="B1635" i="12"/>
  <c r="B1634" i="12"/>
  <c r="B1633" i="12"/>
  <c r="B1632" i="12"/>
  <c r="B1631" i="12"/>
  <c r="B1630" i="12"/>
  <c r="B1629" i="12"/>
  <c r="B1628" i="12"/>
  <c r="B1627" i="12"/>
  <c r="B1626" i="12"/>
  <c r="B1625" i="12"/>
  <c r="B1624" i="12"/>
  <c r="B1623" i="12"/>
  <c r="B1622" i="12"/>
  <c r="B1621" i="12"/>
  <c r="B1620" i="12"/>
  <c r="B1619" i="12"/>
  <c r="B1618" i="12"/>
  <c r="B1617" i="12"/>
  <c r="B1616" i="12"/>
  <c r="B1615" i="12"/>
  <c r="B1614" i="12"/>
  <c r="B1613" i="12"/>
  <c r="B1612" i="12"/>
  <c r="B1611" i="12"/>
  <c r="B1610" i="12"/>
  <c r="B1609" i="12"/>
  <c r="B1608" i="12"/>
  <c r="B1607" i="12"/>
  <c r="B1606" i="12"/>
  <c r="B1605" i="12"/>
  <c r="B1604" i="12"/>
  <c r="B1603" i="12"/>
  <c r="B1602" i="12"/>
  <c r="B1601" i="12"/>
  <c r="B1600" i="12"/>
  <c r="B1599" i="12"/>
  <c r="B1598" i="12"/>
  <c r="B1597" i="12"/>
  <c r="B1596" i="12"/>
  <c r="B1595" i="12"/>
  <c r="B1594" i="12"/>
  <c r="B1593" i="12"/>
  <c r="B1592" i="12"/>
  <c r="B1591" i="12"/>
  <c r="B1590" i="12"/>
  <c r="B1589" i="12"/>
  <c r="B1588" i="12"/>
  <c r="B1587" i="12"/>
  <c r="B1586" i="12"/>
  <c r="B1585" i="12"/>
  <c r="B1584" i="12"/>
  <c r="B1583" i="12"/>
  <c r="B1582" i="12"/>
  <c r="B1581" i="12"/>
  <c r="B1580" i="12"/>
  <c r="B1579" i="12"/>
  <c r="B1578" i="12"/>
  <c r="B1577" i="12"/>
  <c r="B1576" i="12"/>
  <c r="B1575" i="12"/>
  <c r="B1574" i="12"/>
  <c r="B1573" i="12"/>
  <c r="B1572" i="12"/>
  <c r="B1571" i="12"/>
  <c r="B1570" i="12"/>
  <c r="B1569" i="12"/>
  <c r="B1568" i="12"/>
  <c r="B1567" i="12"/>
  <c r="B1566" i="12"/>
  <c r="B1565" i="12"/>
  <c r="B1564" i="12"/>
  <c r="B1563" i="12"/>
  <c r="B1562" i="12"/>
  <c r="B1561" i="12"/>
  <c r="B1560" i="12"/>
  <c r="B1559" i="12"/>
  <c r="B1558" i="12"/>
  <c r="B1557" i="12"/>
  <c r="B1556" i="12"/>
  <c r="B1555" i="12"/>
  <c r="B1554" i="12"/>
  <c r="B1553" i="12"/>
  <c r="B1552" i="12"/>
  <c r="B1551" i="12"/>
  <c r="B1550" i="12"/>
  <c r="B1549" i="12"/>
  <c r="B1548" i="12"/>
  <c r="B1547" i="12"/>
  <c r="B1546" i="12"/>
  <c r="B1545" i="12"/>
  <c r="B1544" i="12"/>
  <c r="B1543" i="12"/>
  <c r="B1542" i="12"/>
  <c r="B1541" i="12"/>
  <c r="B1540" i="12"/>
  <c r="B1539" i="12"/>
  <c r="B1538" i="12"/>
  <c r="B1537" i="12"/>
  <c r="B1536" i="12"/>
  <c r="B1535" i="12"/>
  <c r="B1534" i="12"/>
  <c r="B1533" i="12"/>
  <c r="B1532" i="12"/>
  <c r="B1531" i="12"/>
  <c r="B1530" i="12"/>
  <c r="B1529" i="12"/>
  <c r="B1528" i="12"/>
  <c r="B1527" i="12"/>
  <c r="B1526" i="12"/>
  <c r="B1525" i="12"/>
  <c r="B1524" i="12"/>
  <c r="B1523" i="12"/>
  <c r="B1522" i="12"/>
  <c r="B1521" i="12"/>
  <c r="B1520" i="12"/>
  <c r="B1519" i="12"/>
  <c r="B1518" i="12"/>
  <c r="B1517" i="12"/>
  <c r="B1516" i="12"/>
  <c r="B1515" i="12"/>
  <c r="B1514" i="12"/>
  <c r="B1513" i="12"/>
  <c r="B1512" i="12"/>
  <c r="B1511" i="12"/>
  <c r="B1510" i="12"/>
  <c r="B1509" i="12"/>
  <c r="B1508" i="12"/>
  <c r="B1507" i="12"/>
  <c r="B1506" i="12"/>
  <c r="B1505" i="12"/>
  <c r="B1504" i="12"/>
  <c r="B1503" i="12"/>
  <c r="B1502" i="12"/>
  <c r="B1501" i="12"/>
  <c r="B1500" i="12"/>
  <c r="B1499" i="12"/>
  <c r="B1498" i="12"/>
  <c r="B1497" i="12"/>
  <c r="B1496" i="12"/>
  <c r="B1495" i="12"/>
  <c r="B1494" i="12"/>
  <c r="B1493" i="12"/>
  <c r="B1492" i="12"/>
  <c r="B1491" i="12"/>
  <c r="B1490" i="12"/>
  <c r="B1489" i="12"/>
  <c r="B1488" i="12"/>
  <c r="B1487" i="12"/>
  <c r="B1486" i="12"/>
  <c r="B1485" i="12"/>
  <c r="B1484" i="12"/>
  <c r="B1483" i="12"/>
  <c r="B1482" i="12"/>
  <c r="B1481" i="12"/>
  <c r="B1480" i="12"/>
  <c r="B1479" i="12"/>
  <c r="B1478" i="12"/>
  <c r="B1477" i="12"/>
  <c r="B1476" i="12"/>
  <c r="B1475" i="12"/>
  <c r="B1474" i="12"/>
  <c r="B1473" i="12"/>
  <c r="B1472" i="12"/>
  <c r="B1471" i="12"/>
  <c r="B1470" i="12"/>
  <c r="B1469" i="12"/>
  <c r="B1468" i="12"/>
  <c r="B1467" i="12"/>
  <c r="B1466" i="12"/>
  <c r="B1465" i="12"/>
  <c r="B1464" i="12"/>
  <c r="B1463" i="12"/>
  <c r="B1462" i="12"/>
  <c r="B1461" i="12"/>
  <c r="B1460" i="12"/>
  <c r="B1459" i="12"/>
  <c r="B1458" i="12"/>
  <c r="B1457" i="12"/>
  <c r="B1456" i="12"/>
  <c r="B1455" i="12"/>
  <c r="B1454" i="12"/>
  <c r="B1453" i="12"/>
  <c r="B1452" i="12"/>
  <c r="B1451" i="12"/>
  <c r="B1450" i="12"/>
  <c r="B1449" i="12"/>
  <c r="B1448" i="12"/>
  <c r="B1447" i="12"/>
  <c r="B1446" i="12"/>
  <c r="B1445" i="12"/>
  <c r="B1444" i="12"/>
  <c r="B1443" i="12"/>
  <c r="B1442" i="12"/>
  <c r="B1441" i="12"/>
  <c r="B1440" i="12"/>
  <c r="B1439" i="12"/>
  <c r="B1438" i="12"/>
  <c r="B1437" i="12"/>
  <c r="B1436" i="12"/>
  <c r="B1435" i="12"/>
  <c r="B1434" i="12"/>
  <c r="B1433" i="12"/>
  <c r="B1432" i="12"/>
  <c r="B1431" i="12"/>
  <c r="B1430" i="12"/>
  <c r="B1429" i="12"/>
  <c r="B1428" i="12"/>
  <c r="B1427" i="12"/>
  <c r="B1426" i="12"/>
  <c r="B1425" i="12"/>
  <c r="B1424" i="12"/>
  <c r="B1423" i="12"/>
  <c r="B1422" i="12"/>
  <c r="B1421" i="12"/>
  <c r="B1420" i="12"/>
  <c r="B1419" i="12"/>
  <c r="B1418" i="12"/>
  <c r="B1417" i="12"/>
  <c r="B1416" i="12"/>
  <c r="B1415" i="12"/>
  <c r="B1414" i="12"/>
  <c r="B1413" i="12"/>
  <c r="B1412" i="12"/>
  <c r="B1411" i="12"/>
  <c r="B1410" i="12"/>
  <c r="B1409" i="12"/>
  <c r="B1408" i="12"/>
  <c r="B1407" i="12"/>
  <c r="B1406" i="12"/>
  <c r="B1405" i="12"/>
  <c r="B1404" i="12"/>
  <c r="B1403" i="12"/>
  <c r="B1402" i="12"/>
  <c r="B1401" i="12"/>
  <c r="B1400" i="12"/>
  <c r="B1399" i="12"/>
  <c r="B1398" i="12"/>
  <c r="B1397" i="12"/>
  <c r="B1396" i="12"/>
  <c r="B1395" i="12"/>
  <c r="B1394" i="12"/>
  <c r="B1393" i="12"/>
  <c r="B1392" i="12"/>
  <c r="B1391" i="12"/>
  <c r="B1390" i="12"/>
  <c r="B1389" i="12"/>
  <c r="B1388" i="12"/>
  <c r="B1387" i="12"/>
  <c r="B1386" i="12"/>
  <c r="B1385" i="12"/>
  <c r="B1384" i="12"/>
  <c r="B1383" i="12"/>
  <c r="B1382" i="12"/>
  <c r="B1381" i="12"/>
  <c r="B1380" i="12"/>
  <c r="B1379" i="12"/>
  <c r="B1378" i="12"/>
  <c r="B1377" i="12"/>
  <c r="B1376" i="12"/>
  <c r="B1375" i="12"/>
  <c r="B1374" i="12"/>
  <c r="B1373" i="12"/>
  <c r="B1372" i="12"/>
  <c r="B1371" i="12"/>
  <c r="B1370" i="12"/>
  <c r="B1369" i="12"/>
  <c r="B1368" i="12"/>
  <c r="B1367" i="12"/>
  <c r="B1366" i="12"/>
  <c r="B1365" i="12"/>
  <c r="B1364" i="12"/>
  <c r="B1363" i="12"/>
  <c r="B1362" i="12"/>
  <c r="B1361" i="12"/>
  <c r="B1360" i="12"/>
  <c r="B1359" i="12"/>
  <c r="B1358" i="12"/>
  <c r="B1357" i="12"/>
  <c r="B1356" i="12"/>
  <c r="B1355" i="12"/>
  <c r="B1354" i="12"/>
  <c r="B1353" i="12"/>
  <c r="B1352" i="12"/>
  <c r="B1351" i="12"/>
  <c r="B1350" i="12"/>
  <c r="B1349" i="12"/>
  <c r="B1348" i="12"/>
  <c r="B1347" i="12"/>
  <c r="B1346" i="12"/>
  <c r="B1345" i="12"/>
  <c r="B1344" i="12"/>
  <c r="B1343" i="12"/>
  <c r="B1342" i="12"/>
  <c r="B1341" i="12"/>
  <c r="B1340" i="12"/>
  <c r="B1339" i="12"/>
  <c r="B1338" i="12"/>
  <c r="B1337" i="12"/>
  <c r="B1336" i="12"/>
  <c r="B1335" i="12"/>
  <c r="B1334" i="12"/>
  <c r="B1333" i="12"/>
  <c r="B1332" i="12"/>
  <c r="B1331" i="12"/>
  <c r="B1330" i="12"/>
  <c r="B1329" i="12"/>
  <c r="B1328" i="12"/>
  <c r="B1327" i="12"/>
  <c r="B1326" i="12"/>
  <c r="B1325" i="12"/>
  <c r="B1324" i="12"/>
  <c r="B1323" i="12"/>
  <c r="B1322" i="12"/>
  <c r="B1321" i="12"/>
  <c r="B1320" i="12"/>
  <c r="B1319" i="12"/>
  <c r="B1318" i="12"/>
  <c r="B1317" i="12"/>
  <c r="B1316" i="12"/>
  <c r="B1315" i="12"/>
  <c r="B1314" i="12"/>
  <c r="B1313" i="12"/>
  <c r="B1312" i="12"/>
  <c r="B1311" i="12"/>
  <c r="B1310" i="12"/>
  <c r="B1309" i="12"/>
  <c r="B1308" i="12"/>
  <c r="B1307" i="12"/>
  <c r="B1306" i="12"/>
  <c r="B1305" i="12"/>
  <c r="B1304" i="12"/>
  <c r="B1303" i="12"/>
  <c r="B1302" i="12"/>
  <c r="B1301" i="12"/>
  <c r="B1300" i="12"/>
  <c r="B1299" i="12"/>
  <c r="B1298" i="12"/>
  <c r="B1297" i="12"/>
  <c r="B1296" i="12"/>
  <c r="B1295" i="12"/>
  <c r="B1294" i="12"/>
  <c r="B1293" i="12"/>
  <c r="B1292" i="12"/>
  <c r="B1291" i="12"/>
  <c r="B1290" i="12"/>
  <c r="B1289" i="12"/>
  <c r="B1288" i="12"/>
  <c r="B1287" i="12"/>
  <c r="B1286" i="12"/>
  <c r="B1285" i="12"/>
  <c r="B1284" i="12"/>
  <c r="B1283" i="12"/>
  <c r="B1282" i="12"/>
  <c r="B1281" i="12"/>
  <c r="B1280" i="12"/>
  <c r="B1279" i="12"/>
  <c r="B1278" i="12"/>
  <c r="B1277" i="12"/>
  <c r="B1276" i="12"/>
  <c r="B1275" i="12"/>
  <c r="B1274" i="12"/>
  <c r="B1273" i="12"/>
  <c r="B1272" i="12"/>
  <c r="B1271" i="12"/>
  <c r="B1270" i="12"/>
  <c r="B1269" i="12"/>
  <c r="B1268" i="12"/>
  <c r="B1267" i="12"/>
  <c r="B1266" i="12"/>
  <c r="B1265" i="12"/>
  <c r="B1264" i="12"/>
  <c r="B1263" i="12"/>
  <c r="B1262" i="12"/>
  <c r="B1261" i="12"/>
  <c r="B1260" i="12"/>
  <c r="B1259" i="12"/>
  <c r="B1258" i="12"/>
  <c r="B1257" i="12"/>
  <c r="B1256" i="12"/>
  <c r="B1255" i="12"/>
  <c r="B1254" i="12"/>
  <c r="B1253" i="12"/>
  <c r="B1252" i="12"/>
  <c r="B1251" i="12"/>
  <c r="B1250" i="12"/>
  <c r="B1249" i="12"/>
  <c r="B1248" i="12"/>
  <c r="B1247" i="12"/>
  <c r="B1246" i="12"/>
  <c r="B1245" i="12"/>
  <c r="B1244" i="12"/>
  <c r="B1243" i="12"/>
  <c r="B1242" i="12"/>
  <c r="B1241" i="12"/>
  <c r="B1240" i="12"/>
  <c r="B1239" i="12"/>
  <c r="B1238" i="12"/>
  <c r="B1237" i="12"/>
  <c r="B1236" i="12"/>
  <c r="B1235" i="12"/>
  <c r="B1234" i="12"/>
  <c r="B1233" i="12"/>
  <c r="B1232" i="12"/>
  <c r="B1231" i="12"/>
  <c r="B1230" i="12"/>
  <c r="B1229" i="12"/>
  <c r="B1228" i="12"/>
  <c r="B1227" i="12"/>
  <c r="B1226" i="12"/>
  <c r="B1225" i="12"/>
  <c r="B1224" i="12"/>
  <c r="B1223" i="12"/>
  <c r="B1222" i="12"/>
  <c r="B1221" i="12"/>
  <c r="B1220" i="12"/>
  <c r="B1219" i="12"/>
  <c r="B1218" i="12"/>
  <c r="B1217" i="12"/>
  <c r="B1216" i="12"/>
  <c r="B1215" i="12"/>
  <c r="B1214" i="12"/>
  <c r="B1213" i="12"/>
  <c r="B1212" i="12"/>
  <c r="B1211" i="12"/>
  <c r="B1210" i="12"/>
  <c r="B1209" i="12"/>
  <c r="B1208" i="12"/>
  <c r="B1207" i="12"/>
  <c r="B1206" i="12"/>
  <c r="B1205" i="12"/>
  <c r="B1204" i="12"/>
  <c r="B1203" i="12"/>
  <c r="B1202" i="12"/>
  <c r="B1201" i="12"/>
  <c r="B1200" i="12"/>
  <c r="B1199" i="12"/>
  <c r="B1198" i="12"/>
  <c r="B1197" i="12"/>
  <c r="B1196" i="12"/>
  <c r="B1195" i="12"/>
  <c r="B1194" i="12"/>
  <c r="B1193" i="12"/>
  <c r="B1192" i="12"/>
  <c r="B1191" i="12"/>
  <c r="B1190" i="12"/>
  <c r="B1189" i="12"/>
  <c r="B1188" i="12"/>
  <c r="B1187" i="12"/>
  <c r="B1186" i="12"/>
  <c r="B1185" i="12"/>
  <c r="B1184" i="12"/>
  <c r="B1183" i="12"/>
  <c r="B1182" i="12"/>
  <c r="B1181" i="12"/>
  <c r="B1180" i="12"/>
  <c r="B1179" i="12"/>
  <c r="B1178" i="12"/>
  <c r="B1177" i="12"/>
  <c r="B1176" i="12"/>
  <c r="B1175" i="12"/>
  <c r="B1174" i="12"/>
  <c r="B1173" i="12"/>
  <c r="B1172" i="12"/>
  <c r="B1171" i="12"/>
  <c r="B1170" i="12"/>
  <c r="B1169" i="12"/>
  <c r="B1168" i="12"/>
  <c r="B1167" i="12"/>
  <c r="B1166" i="12"/>
  <c r="B1165" i="12"/>
  <c r="B1164" i="12"/>
  <c r="B1163" i="12"/>
  <c r="B1162" i="12"/>
  <c r="B1161" i="12"/>
  <c r="B1160" i="12"/>
  <c r="B1159" i="12"/>
  <c r="B1158" i="12"/>
  <c r="B1157" i="12"/>
  <c r="B1156" i="12"/>
  <c r="B1155" i="12"/>
  <c r="B1154" i="12"/>
  <c r="B1153" i="12"/>
  <c r="B1152" i="12"/>
  <c r="B1151" i="12"/>
  <c r="B1150" i="12"/>
  <c r="B1149" i="12"/>
  <c r="B1148" i="12"/>
  <c r="B1147" i="12"/>
  <c r="B1146" i="12"/>
  <c r="B1145" i="12"/>
  <c r="B1144" i="12"/>
  <c r="B1143" i="12"/>
  <c r="B1142" i="12"/>
  <c r="B1141" i="12"/>
  <c r="B1140" i="12"/>
  <c r="B1139" i="12"/>
  <c r="B1138" i="12"/>
  <c r="B1137" i="12"/>
  <c r="B1136" i="12"/>
  <c r="B1135" i="12"/>
  <c r="B1134" i="12"/>
  <c r="B1133" i="12"/>
  <c r="B1132" i="12"/>
  <c r="B1131" i="12"/>
  <c r="B1130" i="12"/>
  <c r="B1129" i="12"/>
  <c r="B1128" i="12"/>
  <c r="B1127" i="12"/>
  <c r="B1126" i="12"/>
  <c r="B1125" i="12"/>
  <c r="B1124" i="12"/>
  <c r="B1123" i="12"/>
  <c r="B1122" i="12"/>
  <c r="B1121" i="12"/>
  <c r="B1120" i="12"/>
  <c r="B1119" i="12"/>
  <c r="B1118" i="12"/>
  <c r="B1117" i="12"/>
  <c r="B1116" i="12"/>
  <c r="B1115" i="12"/>
  <c r="B1114" i="12"/>
  <c r="B1113" i="12"/>
  <c r="B1112" i="12"/>
  <c r="B1111" i="12"/>
  <c r="B1110" i="12"/>
  <c r="B1109" i="12"/>
  <c r="B1108" i="12"/>
  <c r="B1107" i="12"/>
  <c r="B1106" i="12"/>
  <c r="B1105" i="12"/>
  <c r="B1104" i="12"/>
  <c r="B1103" i="12"/>
  <c r="B1102" i="12"/>
  <c r="B1101" i="12"/>
  <c r="B1100" i="12"/>
  <c r="B1099" i="12"/>
  <c r="B1098" i="12"/>
  <c r="B1097" i="12"/>
  <c r="B1096" i="12"/>
  <c r="B1095" i="12"/>
  <c r="B1094" i="12"/>
  <c r="B1093" i="12"/>
  <c r="B1092" i="12"/>
  <c r="B1091" i="12"/>
  <c r="B1090" i="12"/>
  <c r="B1089" i="12"/>
  <c r="B1088" i="12"/>
  <c r="B1087" i="12"/>
  <c r="B1086" i="12"/>
  <c r="B1085" i="12"/>
  <c r="B1084" i="12"/>
  <c r="B1083" i="12"/>
  <c r="B1082" i="12"/>
  <c r="B1081" i="12"/>
  <c r="B1080" i="12"/>
  <c r="B1079" i="12"/>
  <c r="B1078" i="12"/>
  <c r="B1077" i="12"/>
  <c r="B1076" i="12"/>
  <c r="B1075" i="12"/>
  <c r="B1074" i="12"/>
  <c r="B1073" i="12"/>
  <c r="B1072" i="12"/>
  <c r="B1071" i="12"/>
  <c r="B1070" i="12"/>
  <c r="B1069" i="12"/>
  <c r="B1068" i="12"/>
  <c r="B1067" i="12"/>
  <c r="B1066" i="12"/>
  <c r="B1065" i="12"/>
  <c r="B1064" i="12"/>
  <c r="B1063" i="12"/>
  <c r="B1062" i="12"/>
  <c r="B1061" i="12"/>
  <c r="B1060" i="12"/>
  <c r="B1059" i="12"/>
  <c r="B1058" i="12"/>
  <c r="B1057" i="12"/>
  <c r="B1056" i="12"/>
  <c r="B1055" i="12"/>
  <c r="B1054" i="12"/>
  <c r="B1053" i="12"/>
  <c r="B1052" i="12"/>
  <c r="B1051" i="12"/>
  <c r="B1050" i="12"/>
  <c r="B1049" i="12"/>
  <c r="B1048" i="12"/>
  <c r="B1047" i="12"/>
  <c r="B1046" i="12"/>
  <c r="B1045" i="12"/>
  <c r="B1044" i="12"/>
  <c r="B1043" i="12"/>
  <c r="B1042" i="12"/>
  <c r="B1041" i="12"/>
  <c r="B1040" i="12"/>
  <c r="B1039" i="12"/>
  <c r="B1038" i="12"/>
  <c r="B1037" i="12"/>
  <c r="B1036" i="12"/>
  <c r="B1035" i="12"/>
  <c r="B1034" i="12"/>
  <c r="B1033" i="12"/>
  <c r="B1032" i="12"/>
  <c r="B1031" i="12"/>
  <c r="B1030" i="12"/>
  <c r="B1029" i="12"/>
  <c r="B1028" i="12"/>
  <c r="B1027" i="12"/>
  <c r="B1026" i="12"/>
  <c r="B1025" i="12"/>
  <c r="B1024" i="12"/>
  <c r="B1023" i="12"/>
  <c r="B1022" i="12"/>
  <c r="B1021" i="12"/>
  <c r="B1020" i="12"/>
  <c r="B1019" i="12"/>
  <c r="B1018" i="12"/>
  <c r="B1017" i="12"/>
  <c r="B1016" i="12"/>
  <c r="B1015" i="12"/>
  <c r="B1014" i="12"/>
  <c r="B1013" i="12"/>
  <c r="B1012" i="12"/>
  <c r="B1011" i="12"/>
  <c r="B1010" i="12"/>
  <c r="B1009" i="12"/>
  <c r="B1008" i="12"/>
  <c r="B1007" i="12"/>
  <c r="B1006" i="12"/>
  <c r="B1005" i="12"/>
  <c r="B1004" i="12"/>
  <c r="B1003" i="12"/>
  <c r="B1002" i="12"/>
  <c r="B1001" i="12"/>
  <c r="B1000" i="12"/>
  <c r="B999" i="12"/>
  <c r="B998" i="12"/>
  <c r="B997" i="12"/>
  <c r="B996" i="12"/>
  <c r="B995" i="12"/>
  <c r="B994" i="12"/>
  <c r="B993" i="12"/>
  <c r="B992" i="12"/>
  <c r="B991" i="12"/>
  <c r="B990" i="12"/>
  <c r="B989" i="12"/>
  <c r="B988" i="12"/>
  <c r="B987" i="12"/>
  <c r="B986" i="12"/>
  <c r="B985" i="12"/>
  <c r="B984" i="12"/>
  <c r="B983" i="12"/>
  <c r="B982" i="12"/>
  <c r="B981" i="12"/>
  <c r="B980" i="12"/>
  <c r="B979" i="12"/>
  <c r="B978" i="12"/>
  <c r="B977" i="12"/>
  <c r="B976" i="12"/>
  <c r="B975" i="12"/>
  <c r="B974" i="12"/>
  <c r="B973" i="12"/>
  <c r="B972" i="12"/>
  <c r="B971" i="12"/>
  <c r="B970" i="12"/>
  <c r="B969" i="12"/>
  <c r="B968" i="12"/>
  <c r="B967" i="12"/>
  <c r="B966" i="12"/>
  <c r="B965" i="12"/>
  <c r="B964" i="12"/>
  <c r="B963" i="12"/>
  <c r="B962" i="12"/>
  <c r="B961" i="12"/>
  <c r="B960" i="12"/>
  <c r="B959" i="12"/>
  <c r="B958" i="12"/>
  <c r="B957" i="12"/>
  <c r="B956" i="12"/>
  <c r="B955" i="12"/>
  <c r="B954" i="12"/>
  <c r="B953" i="12"/>
  <c r="B952" i="12"/>
  <c r="B951" i="12"/>
  <c r="B950" i="12"/>
  <c r="B949" i="12"/>
  <c r="B948" i="12"/>
  <c r="B947" i="12"/>
  <c r="B946" i="12"/>
  <c r="B945" i="12"/>
  <c r="B944" i="12"/>
  <c r="B943" i="12"/>
  <c r="B942" i="12"/>
  <c r="B941" i="12"/>
  <c r="B940" i="12"/>
  <c r="B939" i="12"/>
  <c r="B938" i="12"/>
  <c r="B937" i="12"/>
  <c r="B936" i="12"/>
  <c r="B935" i="12"/>
  <c r="B934" i="12"/>
  <c r="B933" i="12"/>
  <c r="B932" i="12"/>
  <c r="B931" i="12"/>
  <c r="B930" i="12"/>
  <c r="B929" i="12"/>
  <c r="B928" i="12"/>
  <c r="B927" i="12"/>
  <c r="B926" i="12"/>
  <c r="B925" i="12"/>
  <c r="B924" i="12"/>
  <c r="B923" i="12"/>
  <c r="B922" i="12"/>
  <c r="B921" i="12"/>
  <c r="B920" i="12"/>
  <c r="B919" i="12"/>
  <c r="B918" i="12"/>
  <c r="B917" i="12"/>
  <c r="B916" i="12"/>
  <c r="B915" i="12"/>
  <c r="B914" i="12"/>
  <c r="B913" i="12"/>
  <c r="B912" i="12"/>
  <c r="B911" i="12"/>
  <c r="B910" i="12"/>
  <c r="B909" i="12"/>
  <c r="B908" i="12"/>
  <c r="B907" i="12"/>
  <c r="B906" i="12"/>
  <c r="B905" i="12"/>
  <c r="B904" i="12"/>
  <c r="B903" i="12"/>
  <c r="B902" i="12"/>
  <c r="B901" i="12"/>
  <c r="B900" i="12"/>
  <c r="B899" i="12"/>
  <c r="B898" i="12"/>
  <c r="B897" i="12"/>
  <c r="B896" i="12"/>
  <c r="B895" i="12"/>
  <c r="B894" i="12"/>
  <c r="B893" i="12"/>
  <c r="B892" i="12"/>
  <c r="B891" i="12"/>
  <c r="B890" i="12"/>
  <c r="B889" i="12"/>
  <c r="B888" i="12"/>
  <c r="B887" i="12"/>
  <c r="B886" i="12"/>
  <c r="B885" i="12"/>
  <c r="B884" i="12"/>
  <c r="B883" i="12"/>
  <c r="B882" i="12"/>
  <c r="B881" i="12"/>
  <c r="B880" i="12"/>
  <c r="B879" i="12"/>
  <c r="B878" i="12"/>
  <c r="B877" i="12"/>
  <c r="B876" i="12"/>
  <c r="B875" i="12"/>
  <c r="B874" i="12"/>
  <c r="B873" i="12"/>
  <c r="B872" i="12"/>
  <c r="B871" i="12"/>
  <c r="B870" i="12"/>
  <c r="B869" i="12"/>
  <c r="B868" i="12"/>
  <c r="B867" i="12"/>
  <c r="B866" i="12"/>
  <c r="B865" i="12"/>
  <c r="B864" i="12"/>
  <c r="B863" i="12"/>
  <c r="B862" i="12"/>
  <c r="B861" i="12"/>
  <c r="B860" i="12"/>
  <c r="B859" i="12"/>
  <c r="B858" i="12"/>
  <c r="B857" i="12"/>
  <c r="B856" i="12"/>
  <c r="B855" i="12"/>
  <c r="B854" i="12"/>
  <c r="B853" i="12"/>
  <c r="B852" i="12"/>
  <c r="B851" i="12"/>
  <c r="B850" i="12"/>
  <c r="B849" i="12"/>
  <c r="B848" i="12"/>
  <c r="B847" i="12"/>
  <c r="B846" i="12"/>
  <c r="B845" i="12"/>
  <c r="B844" i="12"/>
  <c r="B843" i="12"/>
  <c r="B842" i="12"/>
  <c r="B841" i="12"/>
  <c r="B840" i="12"/>
  <c r="B839" i="12"/>
  <c r="B838" i="12"/>
  <c r="B837" i="12"/>
  <c r="B836" i="12"/>
  <c r="B835" i="12"/>
  <c r="B834" i="12"/>
  <c r="B833" i="12"/>
  <c r="B832" i="12"/>
  <c r="B831" i="12"/>
  <c r="B830" i="12"/>
  <c r="B829" i="12"/>
  <c r="B828" i="12"/>
  <c r="B827" i="12"/>
  <c r="B826" i="12"/>
  <c r="B825" i="12"/>
  <c r="B824" i="12"/>
  <c r="B823" i="12"/>
  <c r="B822" i="12"/>
  <c r="B821" i="12"/>
  <c r="B820" i="12"/>
  <c r="B819" i="12"/>
  <c r="B818" i="12"/>
  <c r="B817" i="12"/>
  <c r="B816" i="12"/>
  <c r="B815" i="12"/>
  <c r="B814" i="12"/>
  <c r="B813" i="12"/>
  <c r="B812" i="12"/>
  <c r="B811" i="12"/>
  <c r="B810" i="12"/>
  <c r="B809" i="12"/>
  <c r="B808" i="12"/>
  <c r="B807" i="12"/>
  <c r="B806" i="12"/>
  <c r="B805" i="12"/>
  <c r="B804" i="12"/>
  <c r="B803" i="12"/>
  <c r="B802" i="12"/>
  <c r="B801" i="12"/>
  <c r="B800" i="12"/>
  <c r="B799" i="12"/>
  <c r="B798" i="12"/>
  <c r="B797" i="12"/>
  <c r="B796" i="12"/>
  <c r="B795" i="12"/>
  <c r="B794" i="12"/>
  <c r="B793" i="12"/>
  <c r="B792" i="12"/>
  <c r="B791" i="12"/>
  <c r="B790" i="12"/>
  <c r="B789" i="12"/>
  <c r="B788" i="12"/>
  <c r="B787" i="12"/>
  <c r="B786" i="12"/>
  <c r="B785" i="12"/>
  <c r="B784" i="12"/>
  <c r="B783" i="12"/>
  <c r="B782" i="12"/>
  <c r="B781" i="12"/>
  <c r="B780" i="12"/>
  <c r="B779" i="12"/>
  <c r="B778" i="12"/>
  <c r="B777" i="12"/>
  <c r="B776" i="12"/>
  <c r="B775" i="12"/>
  <c r="B774" i="12"/>
  <c r="B773" i="12"/>
  <c r="B772" i="12"/>
  <c r="B771" i="12"/>
  <c r="B770" i="12"/>
  <c r="B769" i="12"/>
  <c r="B768" i="12"/>
  <c r="B767" i="12"/>
  <c r="B766" i="12"/>
  <c r="B765" i="12"/>
  <c r="B764" i="12"/>
  <c r="B763" i="12"/>
  <c r="B762" i="12"/>
  <c r="B761" i="12"/>
  <c r="B760" i="12"/>
  <c r="B759" i="12"/>
  <c r="B758" i="12"/>
  <c r="B757" i="12"/>
  <c r="B756" i="12"/>
  <c r="B755" i="12"/>
  <c r="B754" i="12"/>
  <c r="B753" i="12"/>
  <c r="B752" i="12"/>
  <c r="B751" i="12"/>
  <c r="B750" i="12"/>
  <c r="B749" i="12"/>
  <c r="B748" i="12"/>
  <c r="B747" i="12"/>
  <c r="B746" i="12"/>
  <c r="B745" i="12"/>
  <c r="B744" i="12"/>
  <c r="B743" i="12"/>
  <c r="B742" i="12"/>
  <c r="B741" i="12"/>
  <c r="B740" i="12"/>
  <c r="B739" i="12"/>
  <c r="B738" i="12"/>
  <c r="B737" i="12"/>
  <c r="B736" i="12"/>
  <c r="B735" i="12"/>
  <c r="B734" i="12"/>
  <c r="B733" i="12"/>
  <c r="B732" i="12"/>
  <c r="B731" i="12"/>
  <c r="B730" i="12"/>
  <c r="B729" i="12"/>
  <c r="B728" i="12"/>
  <c r="B727" i="12"/>
  <c r="B726" i="12"/>
  <c r="B725" i="12"/>
  <c r="B724" i="12"/>
  <c r="B723" i="12"/>
  <c r="B722" i="12"/>
  <c r="B721" i="12"/>
  <c r="B720" i="12"/>
  <c r="B719" i="12"/>
  <c r="B718" i="12"/>
  <c r="B717" i="12"/>
  <c r="B716" i="12"/>
  <c r="B715" i="12"/>
  <c r="B714" i="12"/>
  <c r="B713" i="12"/>
  <c r="B712" i="12"/>
  <c r="B711" i="12"/>
  <c r="B710" i="12"/>
  <c r="B709" i="12"/>
  <c r="B708" i="12"/>
  <c r="B707" i="12"/>
  <c r="B706" i="12"/>
  <c r="B705" i="12"/>
  <c r="B704" i="12"/>
  <c r="B703" i="12"/>
  <c r="B702" i="12"/>
  <c r="B701" i="12"/>
  <c r="B700" i="12"/>
  <c r="B699" i="12"/>
  <c r="B698" i="12"/>
  <c r="B697" i="12"/>
  <c r="B696" i="12"/>
  <c r="B695" i="12"/>
  <c r="B694" i="12"/>
  <c r="B693" i="12"/>
  <c r="B692" i="12"/>
  <c r="B691" i="12"/>
  <c r="B690" i="12"/>
  <c r="B689" i="12"/>
  <c r="B688" i="12"/>
  <c r="B687" i="12"/>
  <c r="B686" i="12"/>
  <c r="B685" i="12"/>
  <c r="B684" i="12"/>
  <c r="B683" i="12"/>
  <c r="B682" i="12"/>
  <c r="B681" i="12"/>
  <c r="B680" i="12"/>
  <c r="B679" i="12"/>
  <c r="B678" i="12"/>
  <c r="B677" i="12"/>
  <c r="B676" i="12"/>
  <c r="B675" i="12"/>
  <c r="B674" i="12"/>
  <c r="B673" i="12"/>
  <c r="B672" i="12"/>
  <c r="B671" i="12"/>
  <c r="B670" i="12"/>
  <c r="B669" i="12"/>
  <c r="B668" i="12"/>
  <c r="B667" i="12"/>
  <c r="B666" i="12"/>
  <c r="B665" i="12"/>
  <c r="B664" i="12"/>
  <c r="B663" i="12"/>
  <c r="B662" i="12"/>
  <c r="B661" i="12"/>
  <c r="B660" i="12"/>
  <c r="B659" i="12"/>
  <c r="B658" i="12"/>
  <c r="B657" i="12"/>
  <c r="B656" i="12"/>
  <c r="B655" i="12"/>
  <c r="B654" i="12"/>
  <c r="B653" i="12"/>
  <c r="B652" i="12"/>
  <c r="B651" i="12"/>
  <c r="B650" i="12"/>
  <c r="B649" i="12"/>
  <c r="B648" i="12"/>
  <c r="B647" i="12"/>
  <c r="B646" i="12"/>
  <c r="B645" i="12"/>
  <c r="B644" i="12"/>
  <c r="B643" i="12"/>
  <c r="B642" i="12"/>
  <c r="B641" i="12"/>
  <c r="B640" i="12"/>
  <c r="B639" i="12"/>
  <c r="B638" i="12"/>
  <c r="B637" i="12"/>
  <c r="B636" i="12"/>
  <c r="B635" i="12"/>
  <c r="B634" i="12"/>
  <c r="B633" i="12"/>
  <c r="B632" i="12"/>
  <c r="B631" i="12"/>
  <c r="B630" i="12"/>
  <c r="B629" i="12"/>
  <c r="B628" i="12"/>
  <c r="B627" i="12"/>
  <c r="B626" i="12"/>
  <c r="B625" i="12"/>
  <c r="B624" i="12"/>
  <c r="B623" i="12"/>
  <c r="B622" i="12"/>
  <c r="B621" i="12"/>
  <c r="B620" i="12"/>
  <c r="B619" i="12"/>
  <c r="B618" i="12"/>
  <c r="B617" i="12"/>
  <c r="B616" i="12"/>
  <c r="B615" i="12"/>
  <c r="B614" i="12"/>
  <c r="B613" i="12"/>
  <c r="B612" i="12"/>
  <c r="B611" i="12"/>
  <c r="B610" i="12"/>
  <c r="B609" i="12"/>
  <c r="B608" i="12"/>
  <c r="B607" i="12"/>
  <c r="B606" i="12"/>
  <c r="B605" i="12"/>
  <c r="B604" i="12"/>
  <c r="B603" i="12"/>
  <c r="B602" i="12"/>
  <c r="B601" i="12"/>
  <c r="B600" i="12"/>
  <c r="B599" i="12"/>
  <c r="B598" i="12"/>
  <c r="B597" i="12"/>
  <c r="B596" i="12"/>
  <c r="B595" i="12"/>
  <c r="B594" i="12"/>
  <c r="B593" i="12"/>
  <c r="B592" i="12"/>
  <c r="B591" i="12"/>
  <c r="B590" i="12"/>
  <c r="B589" i="12"/>
  <c r="B588" i="12"/>
  <c r="B587" i="12"/>
  <c r="B586" i="12"/>
  <c r="B585" i="12"/>
  <c r="B584" i="12"/>
  <c r="B583" i="12"/>
  <c r="B582" i="12"/>
  <c r="B581" i="12"/>
  <c r="B580" i="12"/>
  <c r="B579" i="12"/>
  <c r="B578" i="12"/>
  <c r="B577" i="12"/>
  <c r="B576" i="12"/>
  <c r="B575" i="12"/>
  <c r="B574" i="12"/>
  <c r="B573" i="12"/>
  <c r="B572" i="12"/>
  <c r="B571" i="12"/>
  <c r="B570" i="12"/>
  <c r="B569" i="12"/>
  <c r="B568" i="12"/>
  <c r="B567" i="12"/>
  <c r="B566" i="12"/>
  <c r="B565" i="12"/>
  <c r="B564" i="12"/>
  <c r="B563" i="12"/>
  <c r="B562" i="12"/>
  <c r="B561" i="12"/>
  <c r="B560" i="12"/>
  <c r="B559" i="12"/>
  <c r="B558" i="12"/>
  <c r="B557" i="12"/>
  <c r="B556" i="12"/>
  <c r="B555" i="12"/>
  <c r="B554" i="12"/>
  <c r="B553" i="12"/>
  <c r="B552" i="12"/>
  <c r="B551" i="12"/>
  <c r="B550" i="12"/>
  <c r="B549" i="12"/>
  <c r="B548" i="12"/>
  <c r="B547" i="12"/>
  <c r="B546" i="12"/>
  <c r="B545" i="12"/>
  <c r="B544" i="12"/>
  <c r="B543" i="12"/>
  <c r="B542" i="12"/>
  <c r="B541" i="12"/>
  <c r="B540" i="12"/>
  <c r="B539" i="12"/>
  <c r="B538" i="12"/>
  <c r="B537" i="12"/>
  <c r="B536" i="12"/>
  <c r="B535" i="12"/>
  <c r="B534" i="12"/>
  <c r="B533" i="12"/>
  <c r="B532" i="12"/>
  <c r="B531" i="12"/>
  <c r="B530" i="12"/>
  <c r="B529" i="12"/>
  <c r="B528" i="12"/>
  <c r="B527" i="12"/>
  <c r="B526" i="12"/>
  <c r="B525" i="12"/>
  <c r="B524" i="12"/>
  <c r="B523" i="12"/>
  <c r="B522" i="12"/>
  <c r="B521" i="12"/>
  <c r="B520" i="12"/>
  <c r="B519" i="12"/>
  <c r="B518" i="12"/>
  <c r="B517" i="12"/>
  <c r="B516" i="12"/>
  <c r="B515" i="12"/>
  <c r="B514" i="12"/>
  <c r="B513" i="12"/>
  <c r="B512" i="12"/>
  <c r="B511" i="12"/>
  <c r="B510" i="12"/>
  <c r="B509" i="12"/>
  <c r="B508" i="12"/>
  <c r="B507" i="12"/>
  <c r="B506" i="12"/>
  <c r="B505" i="12"/>
  <c r="B504" i="12"/>
  <c r="B503" i="12"/>
  <c r="B502" i="12"/>
  <c r="B501" i="12"/>
  <c r="B500" i="12"/>
  <c r="B499" i="12"/>
  <c r="B498" i="12"/>
  <c r="B497" i="12"/>
  <c r="B496" i="12"/>
  <c r="B495" i="12"/>
  <c r="B494" i="12"/>
  <c r="B493" i="12"/>
  <c r="B492" i="12"/>
  <c r="B491" i="12"/>
  <c r="B490" i="12"/>
  <c r="B489" i="12"/>
  <c r="B488" i="12"/>
  <c r="B487" i="12"/>
  <c r="B486" i="12"/>
  <c r="B485" i="12"/>
  <c r="B484" i="12"/>
  <c r="B483" i="12"/>
  <c r="B482" i="12"/>
  <c r="B481" i="12"/>
  <c r="B480" i="12"/>
  <c r="B479" i="12"/>
  <c r="B478" i="12"/>
  <c r="B477" i="12"/>
  <c r="B476" i="12"/>
  <c r="B475" i="12"/>
  <c r="B474" i="12"/>
  <c r="B473" i="12"/>
  <c r="B472" i="12"/>
  <c r="B471" i="12"/>
  <c r="B470" i="12"/>
  <c r="B469" i="12"/>
  <c r="B468" i="12"/>
  <c r="B467" i="12"/>
  <c r="B466" i="12"/>
  <c r="B465" i="12"/>
  <c r="B464" i="12"/>
  <c r="B463" i="12"/>
  <c r="B462" i="12"/>
  <c r="B461" i="12"/>
  <c r="B460" i="12"/>
  <c r="B459" i="12"/>
  <c r="B458" i="12"/>
  <c r="B457" i="12"/>
  <c r="B456" i="12"/>
  <c r="B455" i="12"/>
  <c r="B454" i="12"/>
  <c r="B453" i="12"/>
  <c r="B452" i="12"/>
  <c r="B451" i="12"/>
  <c r="B450" i="12"/>
  <c r="B449" i="12"/>
  <c r="B448" i="12"/>
  <c r="B447" i="12"/>
  <c r="B446" i="12"/>
  <c r="B445" i="12"/>
  <c r="B444" i="12"/>
  <c r="B443" i="12"/>
  <c r="B442" i="12"/>
  <c r="B441" i="12"/>
  <c r="B440" i="12"/>
  <c r="B439" i="12"/>
  <c r="B438" i="12"/>
  <c r="B437" i="12"/>
  <c r="B436" i="12"/>
  <c r="B435" i="12"/>
  <c r="B434" i="12"/>
  <c r="B433" i="12"/>
  <c r="B432" i="12"/>
  <c r="B431" i="12"/>
  <c r="B430" i="12"/>
  <c r="B429" i="12"/>
  <c r="B428" i="12"/>
  <c r="B427" i="12"/>
  <c r="B426" i="12"/>
  <c r="B425" i="12"/>
  <c r="B424" i="12"/>
  <c r="B423" i="12"/>
  <c r="B422" i="12"/>
  <c r="B421" i="12"/>
  <c r="B420" i="12"/>
  <c r="B419" i="12"/>
  <c r="B418" i="12"/>
  <c r="B417" i="12"/>
  <c r="B416" i="12"/>
  <c r="B415" i="12"/>
  <c r="B414" i="12"/>
  <c r="B413" i="12"/>
  <c r="B412" i="12"/>
  <c r="B411" i="12"/>
  <c r="B410" i="12"/>
  <c r="B409" i="12"/>
  <c r="B408" i="12"/>
  <c r="B407" i="12"/>
  <c r="B406" i="12"/>
  <c r="B405" i="12"/>
  <c r="B404" i="12"/>
  <c r="B403" i="12"/>
  <c r="B402" i="12"/>
  <c r="B401" i="12"/>
  <c r="B400" i="12"/>
  <c r="B399" i="12"/>
  <c r="B398" i="12"/>
  <c r="B397" i="12"/>
  <c r="B396" i="12"/>
  <c r="B395" i="12"/>
  <c r="B394" i="12"/>
  <c r="B393" i="12"/>
  <c r="B392" i="12"/>
  <c r="B391" i="12"/>
  <c r="B390" i="12"/>
  <c r="B389" i="12"/>
  <c r="B388" i="12"/>
  <c r="B387" i="12"/>
  <c r="B386" i="12"/>
  <c r="B385" i="12"/>
  <c r="B384" i="12"/>
  <c r="B383" i="12"/>
  <c r="B382" i="12"/>
  <c r="B381" i="12"/>
  <c r="B380" i="12"/>
  <c r="B379" i="12"/>
  <c r="B378" i="12"/>
  <c r="B377" i="12"/>
  <c r="B376" i="12"/>
  <c r="B375" i="12"/>
  <c r="B374" i="12"/>
  <c r="B373" i="12"/>
  <c r="B372" i="12"/>
  <c r="B371" i="12"/>
  <c r="B370" i="12"/>
  <c r="B369" i="12"/>
  <c r="B368" i="12"/>
  <c r="B367" i="12"/>
  <c r="B366" i="12"/>
  <c r="B365" i="12"/>
  <c r="B364" i="12"/>
  <c r="B363" i="12"/>
  <c r="B362" i="12"/>
  <c r="B361" i="12"/>
  <c r="B360" i="12"/>
  <c r="B359" i="12"/>
  <c r="B358" i="12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J27" i="12"/>
  <c r="B28" i="12"/>
  <c r="J26" i="12"/>
  <c r="B27" i="12"/>
  <c r="J25" i="12"/>
  <c r="B26" i="12"/>
  <c r="B25" i="12"/>
  <c r="B24" i="12"/>
  <c r="J22" i="12"/>
  <c r="B23" i="12"/>
  <c r="B22" i="12"/>
  <c r="J20" i="12"/>
  <c r="B21" i="12"/>
  <c r="B20" i="12"/>
  <c r="B19" i="12"/>
  <c r="B18" i="12"/>
  <c r="B17" i="12"/>
  <c r="B16" i="12"/>
  <c r="B15" i="12"/>
  <c r="B14" i="12"/>
  <c r="J13" i="12"/>
  <c r="J15" i="12" s="1"/>
  <c r="B13" i="12"/>
  <c r="B12" i="12"/>
  <c r="B11" i="12"/>
  <c r="B10" i="12"/>
  <c r="B9" i="12"/>
  <c r="B8" i="12"/>
  <c r="B7" i="12"/>
  <c r="B6" i="12"/>
  <c r="B5" i="12"/>
  <c r="B4" i="12"/>
  <c r="B2445" i="11"/>
  <c r="B2444" i="11"/>
  <c r="B2443" i="11"/>
  <c r="B2442" i="11"/>
  <c r="B2441" i="11"/>
  <c r="B2440" i="11"/>
  <c r="B2439" i="11"/>
  <c r="B2438" i="11"/>
  <c r="B2437" i="11"/>
  <c r="B2436" i="11"/>
  <c r="B2435" i="11"/>
  <c r="B2434" i="11"/>
  <c r="B2433" i="11"/>
  <c r="B2432" i="11"/>
  <c r="B2431" i="11"/>
  <c r="B2430" i="11"/>
  <c r="B2429" i="11"/>
  <c r="B2428" i="11"/>
  <c r="B2427" i="11"/>
  <c r="B2426" i="11"/>
  <c r="B2425" i="11"/>
  <c r="B2424" i="11"/>
  <c r="B2423" i="11"/>
  <c r="B2422" i="11"/>
  <c r="B2421" i="11"/>
  <c r="B2420" i="11"/>
  <c r="B2419" i="11"/>
  <c r="B2418" i="11"/>
  <c r="B2417" i="11"/>
  <c r="B2416" i="11"/>
  <c r="B2415" i="11"/>
  <c r="B2414" i="11"/>
  <c r="B2413" i="11"/>
  <c r="B2412" i="11"/>
  <c r="B2411" i="11"/>
  <c r="B2410" i="11"/>
  <c r="B2409" i="11"/>
  <c r="B2408" i="11"/>
  <c r="B2407" i="11"/>
  <c r="B2406" i="11"/>
  <c r="B2405" i="11"/>
  <c r="B2404" i="11"/>
  <c r="B2403" i="11"/>
  <c r="B2402" i="11"/>
  <c r="B2401" i="11"/>
  <c r="B2400" i="11"/>
  <c r="B2399" i="11"/>
  <c r="B2398" i="11"/>
  <c r="B2397" i="11"/>
  <c r="B2396" i="11"/>
  <c r="B2395" i="11"/>
  <c r="B2394" i="11"/>
  <c r="B2393" i="11"/>
  <c r="B2392" i="11"/>
  <c r="B2391" i="11"/>
  <c r="B2390" i="11"/>
  <c r="B2389" i="11"/>
  <c r="B2388" i="11"/>
  <c r="B2387" i="11"/>
  <c r="B2386" i="11"/>
  <c r="B2385" i="11"/>
  <c r="B2384" i="11"/>
  <c r="B2383" i="11"/>
  <c r="B2382" i="11"/>
  <c r="B2381" i="11"/>
  <c r="B2380" i="11"/>
  <c r="B2379" i="11"/>
  <c r="B2378" i="11"/>
  <c r="B2377" i="11"/>
  <c r="B2376" i="11"/>
  <c r="B2375" i="11"/>
  <c r="B2374" i="11"/>
  <c r="B2373" i="11"/>
  <c r="B2372" i="11"/>
  <c r="B2371" i="11"/>
  <c r="B2370" i="11"/>
  <c r="B2369" i="11"/>
  <c r="B2368" i="11"/>
  <c r="B2367" i="11"/>
  <c r="B2366" i="11"/>
  <c r="B2365" i="11"/>
  <c r="B2364" i="11"/>
  <c r="B2363" i="11"/>
  <c r="B2362" i="11"/>
  <c r="B2361" i="11"/>
  <c r="B2360" i="11"/>
  <c r="B2359" i="11"/>
  <c r="B2358" i="11"/>
  <c r="B2357" i="11"/>
  <c r="B2356" i="11"/>
  <c r="B2355" i="11"/>
  <c r="B2354" i="11"/>
  <c r="B2353" i="11"/>
  <c r="B2352" i="11"/>
  <c r="B2351" i="11"/>
  <c r="B2350" i="11"/>
  <c r="B2349" i="11"/>
  <c r="B2348" i="11"/>
  <c r="B2347" i="11"/>
  <c r="B2346" i="11"/>
  <c r="B2345" i="11"/>
  <c r="B2344" i="11"/>
  <c r="B2343" i="11"/>
  <c r="B2342" i="11"/>
  <c r="B2341" i="11"/>
  <c r="B2340" i="11"/>
  <c r="B2339" i="11"/>
  <c r="B2338" i="11"/>
  <c r="B2337" i="11"/>
  <c r="B2336" i="11"/>
  <c r="B2335" i="11"/>
  <c r="B2334" i="11"/>
  <c r="B2333" i="11"/>
  <c r="B2332" i="11"/>
  <c r="B2331" i="11"/>
  <c r="B2330" i="11"/>
  <c r="B2329" i="11"/>
  <c r="B2328" i="11"/>
  <c r="B2327" i="11"/>
  <c r="B2326" i="11"/>
  <c r="B2325" i="11"/>
  <c r="B2324" i="11"/>
  <c r="B2323" i="11"/>
  <c r="B2322" i="11"/>
  <c r="B2321" i="11"/>
  <c r="B2320" i="11"/>
  <c r="B2319" i="11"/>
  <c r="B2318" i="11"/>
  <c r="B2317" i="11"/>
  <c r="B2316" i="11"/>
  <c r="B2315" i="11"/>
  <c r="B2314" i="11"/>
  <c r="B2313" i="11"/>
  <c r="B2312" i="11"/>
  <c r="B2311" i="11"/>
  <c r="B2310" i="11"/>
  <c r="B2309" i="11"/>
  <c r="B2308" i="11"/>
  <c r="B2307" i="11"/>
  <c r="B2306" i="11"/>
  <c r="B2305" i="11"/>
  <c r="B2304" i="11"/>
  <c r="B2303" i="11"/>
  <c r="B2302" i="11"/>
  <c r="B2301" i="11"/>
  <c r="B2300" i="11"/>
  <c r="B2299" i="11"/>
  <c r="B2298" i="11"/>
  <c r="B2297" i="11"/>
  <c r="B2296" i="11"/>
  <c r="B2295" i="11"/>
  <c r="B2294" i="11"/>
  <c r="B2293" i="11"/>
  <c r="B2292" i="11"/>
  <c r="B2291" i="11"/>
  <c r="B2290" i="11"/>
  <c r="B2289" i="11"/>
  <c r="B2288" i="11"/>
  <c r="B2287" i="11"/>
  <c r="B2286" i="11"/>
  <c r="B2285" i="11"/>
  <c r="B2284" i="11"/>
  <c r="B2283" i="11"/>
  <c r="B2282" i="11"/>
  <c r="B2281" i="11"/>
  <c r="B2280" i="11"/>
  <c r="B2279" i="11"/>
  <c r="B2278" i="11"/>
  <c r="B2277" i="11"/>
  <c r="B2276" i="11"/>
  <c r="B2275" i="11"/>
  <c r="B2274" i="11"/>
  <c r="B2273" i="11"/>
  <c r="B2272" i="11"/>
  <c r="B2271" i="11"/>
  <c r="B2270" i="11"/>
  <c r="B2269" i="11"/>
  <c r="B2268" i="11"/>
  <c r="B2267" i="11"/>
  <c r="B2266" i="11"/>
  <c r="B2265" i="11"/>
  <c r="B2264" i="11"/>
  <c r="B2263" i="11"/>
  <c r="B2262" i="11"/>
  <c r="B2261" i="11"/>
  <c r="B2260" i="11"/>
  <c r="B2259" i="11"/>
  <c r="B2258" i="11"/>
  <c r="B2257" i="11"/>
  <c r="B2256" i="11"/>
  <c r="B2255" i="11"/>
  <c r="B2254" i="11"/>
  <c r="B2253" i="11"/>
  <c r="B2252" i="11"/>
  <c r="B2251" i="11"/>
  <c r="B2250" i="11"/>
  <c r="B2249" i="11"/>
  <c r="B2248" i="11"/>
  <c r="B2247" i="11"/>
  <c r="B2246" i="11"/>
  <c r="B2245" i="11"/>
  <c r="B2244" i="11"/>
  <c r="B2243" i="11"/>
  <c r="B2242" i="11"/>
  <c r="B2241" i="11"/>
  <c r="B2240" i="11"/>
  <c r="B2239" i="11"/>
  <c r="B2238" i="11"/>
  <c r="B2237" i="11"/>
  <c r="B2236" i="11"/>
  <c r="B2235" i="11"/>
  <c r="B2234" i="11"/>
  <c r="B2233" i="11"/>
  <c r="B2232" i="11"/>
  <c r="B2231" i="11"/>
  <c r="B2230" i="11"/>
  <c r="B2229" i="11"/>
  <c r="B2228" i="11"/>
  <c r="B2227" i="11"/>
  <c r="B2226" i="11"/>
  <c r="B2225" i="11"/>
  <c r="B2224" i="11"/>
  <c r="B2223" i="11"/>
  <c r="B2222" i="11"/>
  <c r="B2221" i="11"/>
  <c r="B2220" i="11"/>
  <c r="B2219" i="11"/>
  <c r="B2218" i="11"/>
  <c r="B2217" i="11"/>
  <c r="B2216" i="11"/>
  <c r="B2215" i="11"/>
  <c r="B2214" i="11"/>
  <c r="B2213" i="11"/>
  <c r="B2212" i="11"/>
  <c r="B2211" i="11"/>
  <c r="B2210" i="11"/>
  <c r="B2209" i="11"/>
  <c r="B2208" i="11"/>
  <c r="B2207" i="11"/>
  <c r="B2206" i="11"/>
  <c r="B2205" i="11"/>
  <c r="B2204" i="11"/>
  <c r="B2203" i="11"/>
  <c r="B2202" i="11"/>
  <c r="B2201" i="11"/>
  <c r="B2200" i="11"/>
  <c r="B2199" i="11"/>
  <c r="B2198" i="11"/>
  <c r="B2197" i="11"/>
  <c r="B2196" i="11"/>
  <c r="B2195" i="11"/>
  <c r="B2194" i="11"/>
  <c r="B2193" i="11"/>
  <c r="B2192" i="11"/>
  <c r="B2191" i="11"/>
  <c r="B2190" i="11"/>
  <c r="B2189" i="11"/>
  <c r="B2188" i="11"/>
  <c r="B2187" i="11"/>
  <c r="B2186" i="11"/>
  <c r="B2185" i="11"/>
  <c r="B2184" i="11"/>
  <c r="B2183" i="11"/>
  <c r="B2182" i="11"/>
  <c r="B2181" i="11"/>
  <c r="B2180" i="11"/>
  <c r="B2179" i="11"/>
  <c r="B2178" i="11"/>
  <c r="B2177" i="11"/>
  <c r="B2176" i="11"/>
  <c r="B2175" i="11"/>
  <c r="B2174" i="11"/>
  <c r="B2173" i="11"/>
  <c r="B2172" i="11"/>
  <c r="B2171" i="11"/>
  <c r="B2170" i="11"/>
  <c r="B2169" i="11"/>
  <c r="B2168" i="11"/>
  <c r="B2167" i="11"/>
  <c r="B2166" i="11"/>
  <c r="B2165" i="11"/>
  <c r="B2164" i="11"/>
  <c r="B2163" i="11"/>
  <c r="B2162" i="11"/>
  <c r="B2161" i="11"/>
  <c r="B2160" i="11"/>
  <c r="B2159" i="11"/>
  <c r="B2158" i="11"/>
  <c r="B2157" i="11"/>
  <c r="B2156" i="11"/>
  <c r="B2155" i="11"/>
  <c r="B2154" i="11"/>
  <c r="B2153" i="11"/>
  <c r="B2152" i="11"/>
  <c r="B2151" i="11"/>
  <c r="B2150" i="11"/>
  <c r="B2149" i="11"/>
  <c r="B2148" i="11"/>
  <c r="B2147" i="11"/>
  <c r="B2146" i="11"/>
  <c r="B2145" i="11"/>
  <c r="B2144" i="11"/>
  <c r="B2143" i="11"/>
  <c r="B2142" i="11"/>
  <c r="B2141" i="11"/>
  <c r="B2140" i="11"/>
  <c r="B2139" i="11"/>
  <c r="B2138" i="11"/>
  <c r="B2137" i="11"/>
  <c r="B2136" i="11"/>
  <c r="B2135" i="11"/>
  <c r="B2134" i="11"/>
  <c r="B2133" i="11"/>
  <c r="B2132" i="11"/>
  <c r="B2131" i="11"/>
  <c r="B2130" i="11"/>
  <c r="B2129" i="11"/>
  <c r="B2128" i="11"/>
  <c r="B2127" i="11"/>
  <c r="B2126" i="11"/>
  <c r="B2125" i="11"/>
  <c r="B2124" i="11"/>
  <c r="B2123" i="11"/>
  <c r="B2122" i="11"/>
  <c r="B2121" i="11"/>
  <c r="B2120" i="11"/>
  <c r="B2119" i="11"/>
  <c r="B2118" i="11"/>
  <c r="B2117" i="11"/>
  <c r="B2116" i="11"/>
  <c r="B2115" i="11"/>
  <c r="B2114" i="11"/>
  <c r="B2113" i="11"/>
  <c r="B2112" i="11"/>
  <c r="B2111" i="11"/>
  <c r="B2110" i="11"/>
  <c r="B2109" i="11"/>
  <c r="B2108" i="11"/>
  <c r="B2107" i="11"/>
  <c r="B2106" i="11"/>
  <c r="B2105" i="11"/>
  <c r="B2104" i="11"/>
  <c r="B2103" i="11"/>
  <c r="B2102" i="11"/>
  <c r="B2101" i="11"/>
  <c r="B2100" i="11"/>
  <c r="B2099" i="11"/>
  <c r="B2098" i="11"/>
  <c r="B2097" i="11"/>
  <c r="B2096" i="11"/>
  <c r="B2095" i="11"/>
  <c r="B2094" i="11"/>
  <c r="B2093" i="11"/>
  <c r="B2092" i="11"/>
  <c r="B2091" i="11"/>
  <c r="B2090" i="11"/>
  <c r="B2089" i="11"/>
  <c r="B2088" i="11"/>
  <c r="B2087" i="11"/>
  <c r="B2086" i="11"/>
  <c r="B2085" i="11"/>
  <c r="B2084" i="11"/>
  <c r="B2083" i="11"/>
  <c r="B2082" i="11"/>
  <c r="B2081" i="11"/>
  <c r="B2080" i="11"/>
  <c r="B2079" i="11"/>
  <c r="B2078" i="11"/>
  <c r="B2077" i="11"/>
  <c r="B2076" i="11"/>
  <c r="B2075" i="11"/>
  <c r="B2074" i="11"/>
  <c r="B2073" i="11"/>
  <c r="B2072" i="11"/>
  <c r="B2071" i="11"/>
  <c r="B2070" i="11"/>
  <c r="B2069" i="11"/>
  <c r="B2068" i="11"/>
  <c r="B2067" i="11"/>
  <c r="B2066" i="11"/>
  <c r="B2065" i="11"/>
  <c r="B2064" i="11"/>
  <c r="B2063" i="11"/>
  <c r="B2062" i="11"/>
  <c r="B2061" i="11"/>
  <c r="B2060" i="11"/>
  <c r="B2059" i="11"/>
  <c r="B2058" i="11"/>
  <c r="B2057" i="11"/>
  <c r="B2056" i="11"/>
  <c r="B2055" i="11"/>
  <c r="B2054" i="11"/>
  <c r="B2053" i="11"/>
  <c r="B2052" i="11"/>
  <c r="B2051" i="11"/>
  <c r="B2050" i="11"/>
  <c r="B2049" i="11"/>
  <c r="B2048" i="11"/>
  <c r="B2047" i="11"/>
  <c r="B2046" i="11"/>
  <c r="B2045" i="11"/>
  <c r="B2044" i="11"/>
  <c r="B2043" i="11"/>
  <c r="B2042" i="11"/>
  <c r="B2041" i="11"/>
  <c r="B2040" i="11"/>
  <c r="B2039" i="11"/>
  <c r="B2038" i="11"/>
  <c r="B2037" i="11"/>
  <c r="B2036" i="11"/>
  <c r="B2035" i="11"/>
  <c r="B2034" i="11"/>
  <c r="B2033" i="11"/>
  <c r="B2032" i="11"/>
  <c r="B2031" i="11"/>
  <c r="B2030" i="11"/>
  <c r="B2029" i="11"/>
  <c r="B2028" i="11"/>
  <c r="B2027" i="11"/>
  <c r="B2026" i="11"/>
  <c r="B2025" i="11"/>
  <c r="B2024" i="11"/>
  <c r="B2023" i="11"/>
  <c r="B2022" i="11"/>
  <c r="B2021" i="11"/>
  <c r="B2020" i="11"/>
  <c r="B2019" i="11"/>
  <c r="B2018" i="11"/>
  <c r="B2017" i="11"/>
  <c r="B2016" i="11"/>
  <c r="B2015" i="11"/>
  <c r="B2014" i="11"/>
  <c r="B2013" i="11"/>
  <c r="B2012" i="11"/>
  <c r="B2011" i="11"/>
  <c r="B2010" i="11"/>
  <c r="B2009" i="11"/>
  <c r="B2008" i="11"/>
  <c r="B2007" i="11"/>
  <c r="B2006" i="11"/>
  <c r="B2005" i="11"/>
  <c r="B2004" i="11"/>
  <c r="B2003" i="11"/>
  <c r="B2002" i="11"/>
  <c r="B2001" i="11"/>
  <c r="B2000" i="11"/>
  <c r="B1999" i="11"/>
  <c r="B1998" i="11"/>
  <c r="B1997" i="11"/>
  <c r="B1996" i="11"/>
  <c r="B1995" i="11"/>
  <c r="B1994" i="11"/>
  <c r="B1993" i="11"/>
  <c r="B1992" i="11"/>
  <c r="B1991" i="11"/>
  <c r="B1990" i="11"/>
  <c r="B1989" i="11"/>
  <c r="B1988" i="11"/>
  <c r="B1987" i="11"/>
  <c r="B1986" i="11"/>
  <c r="B1985" i="11"/>
  <c r="B1984" i="11"/>
  <c r="B1983" i="11"/>
  <c r="B1982" i="11"/>
  <c r="B1981" i="11"/>
  <c r="B1980" i="11"/>
  <c r="B1979" i="11"/>
  <c r="B1978" i="11"/>
  <c r="B1977" i="11"/>
  <c r="B1976" i="11"/>
  <c r="B1975" i="11"/>
  <c r="B1974" i="11"/>
  <c r="B1973" i="11"/>
  <c r="B1972" i="11"/>
  <c r="B1971" i="11"/>
  <c r="B1970" i="11"/>
  <c r="B1969" i="11"/>
  <c r="B1968" i="11"/>
  <c r="B1967" i="11"/>
  <c r="B1966" i="11"/>
  <c r="B1965" i="11"/>
  <c r="B1964" i="11"/>
  <c r="B1963" i="11"/>
  <c r="B1962" i="11"/>
  <c r="B1961" i="11"/>
  <c r="B1960" i="11"/>
  <c r="B1959" i="11"/>
  <c r="B1958" i="11"/>
  <c r="B1957" i="11"/>
  <c r="B1956" i="11"/>
  <c r="B1955" i="11"/>
  <c r="B1954" i="11"/>
  <c r="B1953" i="11"/>
  <c r="B1952" i="11"/>
  <c r="B1951" i="11"/>
  <c r="B1950" i="11"/>
  <c r="B1949" i="11"/>
  <c r="B1948" i="11"/>
  <c r="B1947" i="11"/>
  <c r="B1946" i="11"/>
  <c r="B1945" i="11"/>
  <c r="B1944" i="11"/>
  <c r="B1943" i="11"/>
  <c r="B1942" i="11"/>
  <c r="B1941" i="11"/>
  <c r="B1940" i="11"/>
  <c r="B1939" i="11"/>
  <c r="B1938" i="11"/>
  <c r="B1937" i="11"/>
  <c r="B1936" i="11"/>
  <c r="B1935" i="11"/>
  <c r="B1934" i="11"/>
  <c r="B1933" i="11"/>
  <c r="B1932" i="11"/>
  <c r="B1931" i="11"/>
  <c r="B1930" i="11"/>
  <c r="B1929" i="11"/>
  <c r="B1928" i="11"/>
  <c r="B1927" i="11"/>
  <c r="B1926" i="11"/>
  <c r="B1925" i="11"/>
  <c r="B1924" i="11"/>
  <c r="B1923" i="11"/>
  <c r="B1922" i="11"/>
  <c r="B1921" i="11"/>
  <c r="B1920" i="11"/>
  <c r="B1919" i="11"/>
  <c r="B1918" i="11"/>
  <c r="B1917" i="11"/>
  <c r="B1916" i="11"/>
  <c r="B1915" i="11"/>
  <c r="B1914" i="11"/>
  <c r="B1913" i="11"/>
  <c r="B1912" i="11"/>
  <c r="B1911" i="11"/>
  <c r="B1910" i="11"/>
  <c r="B1909" i="11"/>
  <c r="B1908" i="11"/>
  <c r="B1907" i="11"/>
  <c r="B1906" i="11"/>
  <c r="B1905" i="11"/>
  <c r="B1904" i="11"/>
  <c r="B1903" i="11"/>
  <c r="B1902" i="11"/>
  <c r="B1901" i="11"/>
  <c r="B1900" i="11"/>
  <c r="B1899" i="11"/>
  <c r="B1898" i="11"/>
  <c r="B1897" i="11"/>
  <c r="B1896" i="11"/>
  <c r="B1895" i="11"/>
  <c r="B1894" i="11"/>
  <c r="B1893" i="11"/>
  <c r="B1892" i="11"/>
  <c r="B1891" i="11"/>
  <c r="B1890" i="11"/>
  <c r="B1889" i="11"/>
  <c r="B1888" i="11"/>
  <c r="B1887" i="11"/>
  <c r="B1886" i="11"/>
  <c r="B1885" i="11"/>
  <c r="B1884" i="11"/>
  <c r="B1883" i="11"/>
  <c r="B1882" i="11"/>
  <c r="B1881" i="11"/>
  <c r="B1880" i="11"/>
  <c r="B1879" i="11"/>
  <c r="B1878" i="11"/>
  <c r="B1877" i="11"/>
  <c r="B1876" i="11"/>
  <c r="B1875" i="11"/>
  <c r="B1874" i="11"/>
  <c r="B1873" i="11"/>
  <c r="B1872" i="11"/>
  <c r="B1871" i="11"/>
  <c r="B1870" i="11"/>
  <c r="B1869" i="11"/>
  <c r="B1868" i="11"/>
  <c r="B1867" i="11"/>
  <c r="B1866" i="11"/>
  <c r="B1865" i="11"/>
  <c r="B1864" i="11"/>
  <c r="B1863" i="11"/>
  <c r="B1862" i="11"/>
  <c r="B1861" i="11"/>
  <c r="B1860" i="11"/>
  <c r="B1859" i="11"/>
  <c r="B1858" i="11"/>
  <c r="B1857" i="11"/>
  <c r="B1856" i="11"/>
  <c r="B1855" i="11"/>
  <c r="B1854" i="11"/>
  <c r="B1853" i="11"/>
  <c r="B1852" i="11"/>
  <c r="B1851" i="11"/>
  <c r="B1850" i="11"/>
  <c r="B1849" i="11"/>
  <c r="B1848" i="11"/>
  <c r="B1847" i="11"/>
  <c r="B1846" i="11"/>
  <c r="B1845" i="11"/>
  <c r="B1844" i="11"/>
  <c r="B1843" i="11"/>
  <c r="B1842" i="11"/>
  <c r="B1841" i="11"/>
  <c r="B1840" i="11"/>
  <c r="B1839" i="11"/>
  <c r="B1838" i="11"/>
  <c r="B1837" i="11"/>
  <c r="B1836" i="11"/>
  <c r="B1835" i="11"/>
  <c r="B1834" i="11"/>
  <c r="B1833" i="11"/>
  <c r="B1832" i="11"/>
  <c r="B1831" i="11"/>
  <c r="B1830" i="11"/>
  <c r="B1829" i="11"/>
  <c r="B1828" i="11"/>
  <c r="B1827" i="11"/>
  <c r="B1826" i="11"/>
  <c r="B1825" i="11"/>
  <c r="B1824" i="11"/>
  <c r="B1823" i="11"/>
  <c r="B1822" i="11"/>
  <c r="B1821" i="11"/>
  <c r="B1820" i="11"/>
  <c r="B1819" i="11"/>
  <c r="B1818" i="11"/>
  <c r="B1817" i="11"/>
  <c r="B1816" i="11"/>
  <c r="B1815" i="11"/>
  <c r="B1814" i="11"/>
  <c r="B1813" i="11"/>
  <c r="B1812" i="11"/>
  <c r="B1811" i="11"/>
  <c r="B1810" i="11"/>
  <c r="B1809" i="11"/>
  <c r="B1808" i="11"/>
  <c r="B1807" i="11"/>
  <c r="B1806" i="11"/>
  <c r="B1805" i="11"/>
  <c r="B1804" i="11"/>
  <c r="B1803" i="11"/>
  <c r="B1802" i="11"/>
  <c r="B1801" i="11"/>
  <c r="B1800" i="11"/>
  <c r="B1799" i="11"/>
  <c r="B1798" i="11"/>
  <c r="B1797" i="11"/>
  <c r="B1796" i="11"/>
  <c r="B1795" i="11"/>
  <c r="B1794" i="11"/>
  <c r="B1793" i="11"/>
  <c r="B1792" i="11"/>
  <c r="B1791" i="11"/>
  <c r="B1790" i="11"/>
  <c r="B1789" i="11"/>
  <c r="B1788" i="11"/>
  <c r="B1787" i="11"/>
  <c r="B1786" i="11"/>
  <c r="B1785" i="11"/>
  <c r="B1784" i="11"/>
  <c r="B1783" i="11"/>
  <c r="B1782" i="11"/>
  <c r="B1781" i="11"/>
  <c r="B1780" i="11"/>
  <c r="B1779" i="11"/>
  <c r="B1778" i="11"/>
  <c r="B1777" i="11"/>
  <c r="B1776" i="11"/>
  <c r="B1775" i="11"/>
  <c r="B1774" i="11"/>
  <c r="B1773" i="11"/>
  <c r="B1772" i="11"/>
  <c r="B1771" i="11"/>
  <c r="B1770" i="11"/>
  <c r="B1769" i="11"/>
  <c r="B1768" i="11"/>
  <c r="B1767" i="11"/>
  <c r="B1766" i="11"/>
  <c r="B1765" i="11"/>
  <c r="B1764" i="11"/>
  <c r="B1763" i="11"/>
  <c r="B1762" i="11"/>
  <c r="B1761" i="11"/>
  <c r="B1760" i="11"/>
  <c r="B1759" i="11"/>
  <c r="B1758" i="11"/>
  <c r="B1757" i="11"/>
  <c r="B1756" i="11"/>
  <c r="B1755" i="11"/>
  <c r="B1754" i="11"/>
  <c r="B1753" i="11"/>
  <c r="B1752" i="11"/>
  <c r="B1751" i="11"/>
  <c r="B1750" i="11"/>
  <c r="B1749" i="11"/>
  <c r="B1748" i="11"/>
  <c r="B1747" i="11"/>
  <c r="B1746" i="11"/>
  <c r="B1745" i="11"/>
  <c r="B1744" i="11"/>
  <c r="B1743" i="11"/>
  <c r="B1742" i="11"/>
  <c r="B1741" i="11"/>
  <c r="B1740" i="11"/>
  <c r="B1739" i="11"/>
  <c r="B1738" i="11"/>
  <c r="B1737" i="11"/>
  <c r="B1736" i="11"/>
  <c r="B1735" i="11"/>
  <c r="B1734" i="11"/>
  <c r="B1733" i="11"/>
  <c r="B1732" i="11"/>
  <c r="B1731" i="11"/>
  <c r="B1730" i="11"/>
  <c r="B1729" i="11"/>
  <c r="B1728" i="11"/>
  <c r="B1727" i="11"/>
  <c r="B1726" i="11"/>
  <c r="B1725" i="11"/>
  <c r="B1724" i="11"/>
  <c r="B1723" i="11"/>
  <c r="B1722" i="11"/>
  <c r="B1721" i="11"/>
  <c r="B1720" i="11"/>
  <c r="B1719" i="11"/>
  <c r="B1718" i="11"/>
  <c r="B1717" i="11"/>
  <c r="B1716" i="11"/>
  <c r="B1715" i="11"/>
  <c r="B1714" i="11"/>
  <c r="B1713" i="11"/>
  <c r="B1712" i="11"/>
  <c r="B1711" i="11"/>
  <c r="B1710" i="11"/>
  <c r="B1709" i="11"/>
  <c r="B1708" i="11"/>
  <c r="B1707" i="11"/>
  <c r="B1706" i="11"/>
  <c r="B1705" i="11"/>
  <c r="B1704" i="11"/>
  <c r="B1703" i="11"/>
  <c r="B1702" i="11"/>
  <c r="B1701" i="11"/>
  <c r="B1700" i="11"/>
  <c r="B1699" i="11"/>
  <c r="B1698" i="11"/>
  <c r="B1697" i="11"/>
  <c r="B1696" i="11"/>
  <c r="B1695" i="11"/>
  <c r="B1694" i="11"/>
  <c r="B1693" i="11"/>
  <c r="B1692" i="11"/>
  <c r="B1691" i="11"/>
  <c r="B1690" i="11"/>
  <c r="B1689" i="11"/>
  <c r="B1688" i="11"/>
  <c r="B1687" i="11"/>
  <c r="B1686" i="11"/>
  <c r="B1685" i="11"/>
  <c r="B1684" i="11"/>
  <c r="B1683" i="11"/>
  <c r="B1682" i="11"/>
  <c r="B1681" i="11"/>
  <c r="B1680" i="11"/>
  <c r="B1679" i="11"/>
  <c r="B1678" i="11"/>
  <c r="B1677" i="11"/>
  <c r="B1676" i="11"/>
  <c r="B1675" i="11"/>
  <c r="B1674" i="11"/>
  <c r="B1673" i="11"/>
  <c r="B1672" i="11"/>
  <c r="B1671" i="11"/>
  <c r="B1670" i="11"/>
  <c r="B1669" i="11"/>
  <c r="B1668" i="11"/>
  <c r="B1667" i="11"/>
  <c r="B1666" i="11"/>
  <c r="B1665" i="11"/>
  <c r="B1664" i="11"/>
  <c r="B1663" i="11"/>
  <c r="B1662" i="11"/>
  <c r="B1661" i="11"/>
  <c r="B1660" i="11"/>
  <c r="B1659" i="11"/>
  <c r="B1658" i="11"/>
  <c r="B1657" i="11"/>
  <c r="B1656" i="11"/>
  <c r="B1655" i="11"/>
  <c r="B1654" i="11"/>
  <c r="B1653" i="11"/>
  <c r="B1652" i="11"/>
  <c r="B1651" i="11"/>
  <c r="B1650" i="11"/>
  <c r="B1649" i="11"/>
  <c r="B1648" i="11"/>
  <c r="B1647" i="11"/>
  <c r="B1646" i="11"/>
  <c r="B1645" i="11"/>
  <c r="B1644" i="11"/>
  <c r="B1643" i="11"/>
  <c r="B1642" i="11"/>
  <c r="B1641" i="11"/>
  <c r="B1640" i="11"/>
  <c r="B1639" i="11"/>
  <c r="B1638" i="11"/>
  <c r="B1637" i="11"/>
  <c r="B1636" i="11"/>
  <c r="B1635" i="11"/>
  <c r="B1634" i="11"/>
  <c r="B1633" i="11"/>
  <c r="B1632" i="11"/>
  <c r="B1631" i="11"/>
  <c r="B1630" i="11"/>
  <c r="B1629" i="11"/>
  <c r="B1628" i="11"/>
  <c r="B1627" i="11"/>
  <c r="B1626" i="11"/>
  <c r="B1625" i="11"/>
  <c r="B1624" i="11"/>
  <c r="B1623" i="11"/>
  <c r="B1622" i="11"/>
  <c r="B1621" i="11"/>
  <c r="B1620" i="11"/>
  <c r="B1619" i="11"/>
  <c r="B1618" i="11"/>
  <c r="B1617" i="11"/>
  <c r="B1616" i="11"/>
  <c r="B1615" i="11"/>
  <c r="B1614" i="11"/>
  <c r="B1613" i="11"/>
  <c r="B1612" i="11"/>
  <c r="B1611" i="11"/>
  <c r="B1610" i="11"/>
  <c r="B1609" i="11"/>
  <c r="B1608" i="11"/>
  <c r="B1607" i="11"/>
  <c r="B1606" i="11"/>
  <c r="B1605" i="11"/>
  <c r="B1604" i="11"/>
  <c r="B1603" i="11"/>
  <c r="B1602" i="11"/>
  <c r="B1601" i="11"/>
  <c r="B1600" i="11"/>
  <c r="B1599" i="11"/>
  <c r="B1598" i="11"/>
  <c r="B1597" i="11"/>
  <c r="B1596" i="11"/>
  <c r="B1595" i="11"/>
  <c r="B1594" i="11"/>
  <c r="B1593" i="11"/>
  <c r="B1592" i="11"/>
  <c r="B1591" i="11"/>
  <c r="B1590" i="11"/>
  <c r="B1589" i="11"/>
  <c r="B1588" i="11"/>
  <c r="B1587" i="11"/>
  <c r="B1586" i="11"/>
  <c r="B1585" i="11"/>
  <c r="B1584" i="11"/>
  <c r="B1583" i="11"/>
  <c r="B1582" i="11"/>
  <c r="B1581" i="11"/>
  <c r="B1580" i="11"/>
  <c r="B1579" i="11"/>
  <c r="B1578" i="11"/>
  <c r="B1577" i="11"/>
  <c r="B1576" i="11"/>
  <c r="B1575" i="11"/>
  <c r="B1574" i="11"/>
  <c r="B1573" i="11"/>
  <c r="B1572" i="11"/>
  <c r="B1571" i="11"/>
  <c r="B1570" i="11"/>
  <c r="B1569" i="11"/>
  <c r="B1568" i="11"/>
  <c r="B1567" i="11"/>
  <c r="B1566" i="11"/>
  <c r="B1565" i="11"/>
  <c r="B1564" i="11"/>
  <c r="B1563" i="11"/>
  <c r="B1562" i="11"/>
  <c r="B1561" i="11"/>
  <c r="B1560" i="11"/>
  <c r="B1559" i="11"/>
  <c r="B1558" i="11"/>
  <c r="B1557" i="11"/>
  <c r="B1556" i="11"/>
  <c r="B1555" i="11"/>
  <c r="B1554" i="11"/>
  <c r="B1553" i="11"/>
  <c r="B1552" i="11"/>
  <c r="B1551" i="11"/>
  <c r="B1550" i="11"/>
  <c r="B1549" i="11"/>
  <c r="B1548" i="11"/>
  <c r="B1547" i="11"/>
  <c r="B1546" i="11"/>
  <c r="B1545" i="11"/>
  <c r="B1544" i="11"/>
  <c r="B1543" i="11"/>
  <c r="B1542" i="11"/>
  <c r="B1541" i="11"/>
  <c r="B1540" i="11"/>
  <c r="B1539" i="11"/>
  <c r="B1538" i="11"/>
  <c r="B1537" i="11"/>
  <c r="B1536" i="11"/>
  <c r="B1535" i="11"/>
  <c r="B1534" i="11"/>
  <c r="B1533" i="11"/>
  <c r="B1532" i="11"/>
  <c r="B1531" i="11"/>
  <c r="B1530" i="11"/>
  <c r="B1529" i="11"/>
  <c r="B1528" i="11"/>
  <c r="B1527" i="11"/>
  <c r="B1526" i="11"/>
  <c r="B1525" i="11"/>
  <c r="B1524" i="11"/>
  <c r="B1523" i="11"/>
  <c r="B1522" i="11"/>
  <c r="B1521" i="11"/>
  <c r="B1520" i="11"/>
  <c r="B1519" i="11"/>
  <c r="B1518" i="11"/>
  <c r="B1517" i="11"/>
  <c r="B1516" i="11"/>
  <c r="B1515" i="11"/>
  <c r="B1514" i="11"/>
  <c r="B1513" i="11"/>
  <c r="B1512" i="11"/>
  <c r="B1511" i="11"/>
  <c r="B1510" i="11"/>
  <c r="B1509" i="11"/>
  <c r="B1508" i="11"/>
  <c r="B1507" i="11"/>
  <c r="B1506" i="11"/>
  <c r="B1505" i="11"/>
  <c r="B1504" i="11"/>
  <c r="B1503" i="11"/>
  <c r="B1502" i="11"/>
  <c r="B1501" i="11"/>
  <c r="B1500" i="11"/>
  <c r="B1499" i="11"/>
  <c r="B1498" i="11"/>
  <c r="B1497" i="11"/>
  <c r="B1496" i="11"/>
  <c r="B1495" i="11"/>
  <c r="B1494" i="11"/>
  <c r="B1493" i="11"/>
  <c r="B1492" i="11"/>
  <c r="B1491" i="11"/>
  <c r="B1490" i="11"/>
  <c r="B1489" i="11"/>
  <c r="B1488" i="11"/>
  <c r="B1487" i="11"/>
  <c r="B1486" i="11"/>
  <c r="B1485" i="11"/>
  <c r="B1484" i="11"/>
  <c r="B1483" i="11"/>
  <c r="B1482" i="11"/>
  <c r="B1481" i="11"/>
  <c r="B1480" i="11"/>
  <c r="B1479" i="11"/>
  <c r="B1478" i="11"/>
  <c r="B1477" i="11"/>
  <c r="B1476" i="11"/>
  <c r="B1475" i="11"/>
  <c r="B1474" i="11"/>
  <c r="B1473" i="11"/>
  <c r="B1472" i="11"/>
  <c r="B1471" i="11"/>
  <c r="B1470" i="11"/>
  <c r="B1469" i="11"/>
  <c r="B1468" i="11"/>
  <c r="B1467" i="11"/>
  <c r="B1466" i="11"/>
  <c r="B1465" i="11"/>
  <c r="B1464" i="11"/>
  <c r="B1463" i="11"/>
  <c r="B1462" i="11"/>
  <c r="B1461" i="11"/>
  <c r="B1460" i="11"/>
  <c r="B1459" i="11"/>
  <c r="B1458" i="11"/>
  <c r="B1457" i="11"/>
  <c r="B1456" i="11"/>
  <c r="B1455" i="11"/>
  <c r="B1454" i="11"/>
  <c r="B1453" i="11"/>
  <c r="B1452" i="11"/>
  <c r="B1451" i="11"/>
  <c r="B1450" i="11"/>
  <c r="B1449" i="11"/>
  <c r="B1448" i="11"/>
  <c r="B1447" i="11"/>
  <c r="B1446" i="11"/>
  <c r="B1445" i="11"/>
  <c r="B1444" i="11"/>
  <c r="B1443" i="11"/>
  <c r="B1442" i="11"/>
  <c r="B1441" i="11"/>
  <c r="B1440" i="11"/>
  <c r="B1439" i="11"/>
  <c r="B1438" i="11"/>
  <c r="B1437" i="11"/>
  <c r="B1436" i="11"/>
  <c r="B1435" i="11"/>
  <c r="B1434" i="11"/>
  <c r="B1433" i="11"/>
  <c r="B1432" i="11"/>
  <c r="B1431" i="11"/>
  <c r="B1430" i="11"/>
  <c r="B1429" i="11"/>
  <c r="B1428" i="11"/>
  <c r="B1427" i="11"/>
  <c r="B1426" i="11"/>
  <c r="B1425" i="11"/>
  <c r="B1424" i="11"/>
  <c r="B1423" i="11"/>
  <c r="B1422" i="11"/>
  <c r="B1421" i="11"/>
  <c r="B1420" i="11"/>
  <c r="B1419" i="11"/>
  <c r="B1418" i="11"/>
  <c r="B1417" i="11"/>
  <c r="B1416" i="11"/>
  <c r="B1415" i="11"/>
  <c r="B1414" i="11"/>
  <c r="B1413" i="11"/>
  <c r="B1412" i="11"/>
  <c r="B1411" i="11"/>
  <c r="B1410" i="11"/>
  <c r="B1409" i="11"/>
  <c r="B1408" i="11"/>
  <c r="B1407" i="11"/>
  <c r="B1406" i="11"/>
  <c r="B1405" i="11"/>
  <c r="B1404" i="11"/>
  <c r="B1403" i="11"/>
  <c r="B1402" i="11"/>
  <c r="B1401" i="11"/>
  <c r="B1400" i="11"/>
  <c r="B1399" i="11"/>
  <c r="B1398" i="11"/>
  <c r="B1397" i="11"/>
  <c r="B1396" i="11"/>
  <c r="B1395" i="11"/>
  <c r="B1394" i="11"/>
  <c r="B1393" i="11"/>
  <c r="B1392" i="11"/>
  <c r="B1391" i="11"/>
  <c r="B1390" i="11"/>
  <c r="B1389" i="11"/>
  <c r="B1388" i="11"/>
  <c r="B1387" i="11"/>
  <c r="B1386" i="11"/>
  <c r="B1385" i="11"/>
  <c r="B1384" i="11"/>
  <c r="B1383" i="11"/>
  <c r="B1382" i="11"/>
  <c r="B1381" i="11"/>
  <c r="B1380" i="11"/>
  <c r="B1379" i="11"/>
  <c r="B1378" i="11"/>
  <c r="B1377" i="11"/>
  <c r="B1376" i="11"/>
  <c r="B1375" i="11"/>
  <c r="B1374" i="11"/>
  <c r="B1373" i="11"/>
  <c r="B1372" i="11"/>
  <c r="B1371" i="11"/>
  <c r="B1370" i="11"/>
  <c r="B1369" i="11"/>
  <c r="B1368" i="11"/>
  <c r="B1367" i="11"/>
  <c r="B1366" i="11"/>
  <c r="B1365" i="11"/>
  <c r="B1364" i="11"/>
  <c r="B1363" i="11"/>
  <c r="B1362" i="11"/>
  <c r="B1361" i="11"/>
  <c r="B1360" i="11"/>
  <c r="B1359" i="11"/>
  <c r="B1358" i="11"/>
  <c r="B1357" i="11"/>
  <c r="B1356" i="11"/>
  <c r="B1355" i="11"/>
  <c r="B1354" i="11"/>
  <c r="B1353" i="11"/>
  <c r="B1352" i="11"/>
  <c r="B1351" i="11"/>
  <c r="B1350" i="11"/>
  <c r="B1349" i="11"/>
  <c r="B1348" i="11"/>
  <c r="B1347" i="11"/>
  <c r="B1346" i="11"/>
  <c r="B1345" i="11"/>
  <c r="B1344" i="11"/>
  <c r="B1343" i="11"/>
  <c r="B1342" i="11"/>
  <c r="B1341" i="11"/>
  <c r="B1340" i="11"/>
  <c r="B1339" i="11"/>
  <c r="B1338" i="11"/>
  <c r="B1337" i="11"/>
  <c r="B1336" i="11"/>
  <c r="B1335" i="11"/>
  <c r="B1334" i="11"/>
  <c r="B1333" i="11"/>
  <c r="B1332" i="11"/>
  <c r="B1331" i="11"/>
  <c r="B1330" i="11"/>
  <c r="B1329" i="11"/>
  <c r="B1328" i="11"/>
  <c r="B1327" i="11"/>
  <c r="B1326" i="11"/>
  <c r="B1325" i="11"/>
  <c r="B1324" i="11"/>
  <c r="B1323" i="11"/>
  <c r="B1322" i="11"/>
  <c r="B1321" i="11"/>
  <c r="B1320" i="11"/>
  <c r="B1319" i="11"/>
  <c r="B1318" i="11"/>
  <c r="B1317" i="11"/>
  <c r="B1316" i="11"/>
  <c r="B1315" i="11"/>
  <c r="B1314" i="11"/>
  <c r="B1313" i="11"/>
  <c r="B1312" i="11"/>
  <c r="B1311" i="11"/>
  <c r="B1310" i="11"/>
  <c r="B1309" i="11"/>
  <c r="B1308" i="11"/>
  <c r="B1307" i="11"/>
  <c r="B1306" i="11"/>
  <c r="B1305" i="11"/>
  <c r="B1304" i="11"/>
  <c r="B1303" i="11"/>
  <c r="B1302" i="11"/>
  <c r="B1301" i="11"/>
  <c r="B1300" i="11"/>
  <c r="B1299" i="11"/>
  <c r="B1298" i="11"/>
  <c r="B1297" i="11"/>
  <c r="B1296" i="11"/>
  <c r="B1295" i="11"/>
  <c r="B1294" i="11"/>
  <c r="B1293" i="11"/>
  <c r="B1292" i="11"/>
  <c r="B1291" i="11"/>
  <c r="B1290" i="11"/>
  <c r="B1289" i="11"/>
  <c r="B1288" i="11"/>
  <c r="B1287" i="11"/>
  <c r="B1286" i="11"/>
  <c r="B1285" i="11"/>
  <c r="B1284" i="11"/>
  <c r="B1283" i="11"/>
  <c r="B1282" i="11"/>
  <c r="B1281" i="11"/>
  <c r="B1280" i="11"/>
  <c r="B1279" i="11"/>
  <c r="B1278" i="11"/>
  <c r="B1277" i="11"/>
  <c r="B1276" i="11"/>
  <c r="B1275" i="11"/>
  <c r="B1274" i="11"/>
  <c r="B1273" i="11"/>
  <c r="B1272" i="11"/>
  <c r="B1271" i="11"/>
  <c r="B1270" i="11"/>
  <c r="B1269" i="11"/>
  <c r="B1268" i="11"/>
  <c r="B1267" i="11"/>
  <c r="B1266" i="11"/>
  <c r="B1265" i="11"/>
  <c r="B1264" i="11"/>
  <c r="B1263" i="11"/>
  <c r="B1262" i="11"/>
  <c r="B1261" i="11"/>
  <c r="B1260" i="11"/>
  <c r="B1259" i="11"/>
  <c r="B1258" i="11"/>
  <c r="B1257" i="11"/>
  <c r="B1256" i="11"/>
  <c r="B1255" i="11"/>
  <c r="B1254" i="11"/>
  <c r="B1253" i="11"/>
  <c r="B1252" i="11"/>
  <c r="B1251" i="11"/>
  <c r="B1250" i="11"/>
  <c r="B1249" i="11"/>
  <c r="B1248" i="11"/>
  <c r="B1247" i="11"/>
  <c r="B1246" i="11"/>
  <c r="B1245" i="11"/>
  <c r="B1244" i="11"/>
  <c r="B1243" i="11"/>
  <c r="B1242" i="11"/>
  <c r="B1241" i="11"/>
  <c r="B1240" i="11"/>
  <c r="B1239" i="11"/>
  <c r="B1238" i="11"/>
  <c r="B1237" i="11"/>
  <c r="B1236" i="11"/>
  <c r="B1235" i="11"/>
  <c r="B1234" i="11"/>
  <c r="B1233" i="11"/>
  <c r="B1232" i="11"/>
  <c r="B1231" i="11"/>
  <c r="B1230" i="11"/>
  <c r="B1229" i="11"/>
  <c r="B1228" i="11"/>
  <c r="B1227" i="11"/>
  <c r="B1226" i="11"/>
  <c r="B1225" i="11"/>
  <c r="B1224" i="11"/>
  <c r="B1223" i="11"/>
  <c r="B1222" i="11"/>
  <c r="B1221" i="11"/>
  <c r="B1220" i="11"/>
  <c r="B1219" i="11"/>
  <c r="B1218" i="11"/>
  <c r="B1217" i="11"/>
  <c r="B1216" i="11"/>
  <c r="B1215" i="11"/>
  <c r="B1214" i="11"/>
  <c r="B1213" i="11"/>
  <c r="B1212" i="11"/>
  <c r="B1211" i="11"/>
  <c r="B1210" i="11"/>
  <c r="B1209" i="11"/>
  <c r="B1208" i="11"/>
  <c r="B1207" i="11"/>
  <c r="B1206" i="11"/>
  <c r="B1205" i="11"/>
  <c r="B1204" i="11"/>
  <c r="B1203" i="11"/>
  <c r="B1202" i="11"/>
  <c r="B1201" i="11"/>
  <c r="B1200" i="11"/>
  <c r="B1199" i="11"/>
  <c r="B1198" i="11"/>
  <c r="B1197" i="11"/>
  <c r="B1196" i="11"/>
  <c r="B1195" i="11"/>
  <c r="B1194" i="11"/>
  <c r="B1193" i="11"/>
  <c r="B1192" i="11"/>
  <c r="B1191" i="11"/>
  <c r="B1190" i="11"/>
  <c r="B1189" i="11"/>
  <c r="B1188" i="11"/>
  <c r="B1187" i="11"/>
  <c r="B1186" i="11"/>
  <c r="B1185" i="11"/>
  <c r="B1184" i="11"/>
  <c r="B1183" i="11"/>
  <c r="B1182" i="11"/>
  <c r="B1181" i="11"/>
  <c r="B1180" i="11"/>
  <c r="B1179" i="11"/>
  <c r="B1178" i="11"/>
  <c r="B1177" i="11"/>
  <c r="B1176" i="11"/>
  <c r="B1175" i="11"/>
  <c r="B1174" i="11"/>
  <c r="B1173" i="11"/>
  <c r="B1172" i="11"/>
  <c r="B1171" i="11"/>
  <c r="B1170" i="11"/>
  <c r="B1169" i="11"/>
  <c r="B1168" i="11"/>
  <c r="B1167" i="11"/>
  <c r="B1166" i="11"/>
  <c r="B1165" i="11"/>
  <c r="B1164" i="11"/>
  <c r="B1163" i="11"/>
  <c r="B1162" i="11"/>
  <c r="B1161" i="11"/>
  <c r="B1160" i="11"/>
  <c r="B1159" i="11"/>
  <c r="B1158" i="11"/>
  <c r="B1157" i="11"/>
  <c r="B1156" i="11"/>
  <c r="B1155" i="11"/>
  <c r="B1154" i="11"/>
  <c r="B1153" i="11"/>
  <c r="B1152" i="11"/>
  <c r="B1151" i="11"/>
  <c r="B1150" i="11"/>
  <c r="B1149" i="11"/>
  <c r="B1148" i="11"/>
  <c r="B1147" i="11"/>
  <c r="B1146" i="11"/>
  <c r="B1145" i="11"/>
  <c r="B1144" i="11"/>
  <c r="B1143" i="11"/>
  <c r="B1142" i="11"/>
  <c r="B1141" i="11"/>
  <c r="B1140" i="11"/>
  <c r="B1139" i="11"/>
  <c r="B1138" i="11"/>
  <c r="B1137" i="11"/>
  <c r="B1136" i="11"/>
  <c r="B1135" i="11"/>
  <c r="B1134" i="11"/>
  <c r="B1133" i="11"/>
  <c r="B1132" i="11"/>
  <c r="B1131" i="11"/>
  <c r="B1130" i="11"/>
  <c r="B1129" i="11"/>
  <c r="B1128" i="11"/>
  <c r="B1127" i="11"/>
  <c r="B1126" i="11"/>
  <c r="B1125" i="11"/>
  <c r="B1124" i="11"/>
  <c r="B1123" i="11"/>
  <c r="B1122" i="11"/>
  <c r="B1121" i="11"/>
  <c r="B1120" i="11"/>
  <c r="B1119" i="11"/>
  <c r="B1118" i="11"/>
  <c r="B1117" i="11"/>
  <c r="B1116" i="11"/>
  <c r="B1115" i="11"/>
  <c r="B1114" i="11"/>
  <c r="B1113" i="11"/>
  <c r="B1112" i="11"/>
  <c r="B1111" i="11"/>
  <c r="B1110" i="11"/>
  <c r="B1109" i="11"/>
  <c r="B1108" i="11"/>
  <c r="B1107" i="11"/>
  <c r="B1106" i="11"/>
  <c r="B1105" i="11"/>
  <c r="B1104" i="11"/>
  <c r="B1103" i="11"/>
  <c r="B1102" i="11"/>
  <c r="B1101" i="11"/>
  <c r="B1100" i="11"/>
  <c r="B1099" i="11"/>
  <c r="B1098" i="11"/>
  <c r="B1097" i="11"/>
  <c r="B1096" i="11"/>
  <c r="B1095" i="11"/>
  <c r="B1094" i="11"/>
  <c r="B1093" i="11"/>
  <c r="B1092" i="11"/>
  <c r="B1091" i="11"/>
  <c r="B1090" i="11"/>
  <c r="B1089" i="11"/>
  <c r="B1088" i="11"/>
  <c r="B1087" i="11"/>
  <c r="B1086" i="11"/>
  <c r="B1085" i="11"/>
  <c r="B1084" i="11"/>
  <c r="B1083" i="11"/>
  <c r="B1082" i="11"/>
  <c r="B1081" i="11"/>
  <c r="B1080" i="11"/>
  <c r="B1079" i="11"/>
  <c r="B1078" i="11"/>
  <c r="B1077" i="11"/>
  <c r="B1076" i="11"/>
  <c r="B1075" i="11"/>
  <c r="B1074" i="11"/>
  <c r="B1073" i="11"/>
  <c r="B1072" i="11"/>
  <c r="B1071" i="11"/>
  <c r="B1070" i="11"/>
  <c r="B1069" i="11"/>
  <c r="B1068" i="11"/>
  <c r="B1067" i="11"/>
  <c r="B1066" i="11"/>
  <c r="B1065" i="11"/>
  <c r="B1064" i="11"/>
  <c r="B1063" i="11"/>
  <c r="B1062" i="11"/>
  <c r="B1061" i="11"/>
  <c r="B1060" i="11"/>
  <c r="B1059" i="11"/>
  <c r="B1058" i="11"/>
  <c r="B1057" i="11"/>
  <c r="B1056" i="11"/>
  <c r="B1055" i="11"/>
  <c r="B1054" i="11"/>
  <c r="B1053" i="11"/>
  <c r="B1052" i="11"/>
  <c r="B1051" i="11"/>
  <c r="B1050" i="11"/>
  <c r="B1049" i="11"/>
  <c r="B1048" i="11"/>
  <c r="B1047" i="11"/>
  <c r="B1046" i="11"/>
  <c r="B1045" i="11"/>
  <c r="B1044" i="11"/>
  <c r="B1043" i="11"/>
  <c r="B1042" i="11"/>
  <c r="B1041" i="11"/>
  <c r="B1040" i="11"/>
  <c r="B1039" i="11"/>
  <c r="B1038" i="11"/>
  <c r="B1037" i="11"/>
  <c r="B1036" i="11"/>
  <c r="B1035" i="11"/>
  <c r="B1034" i="11"/>
  <c r="B1033" i="11"/>
  <c r="B1032" i="11"/>
  <c r="B1031" i="11"/>
  <c r="B1030" i="11"/>
  <c r="B1029" i="11"/>
  <c r="B1028" i="11"/>
  <c r="B1027" i="11"/>
  <c r="B1026" i="11"/>
  <c r="B1025" i="11"/>
  <c r="B1024" i="11"/>
  <c r="B1023" i="11"/>
  <c r="B1022" i="11"/>
  <c r="B1021" i="11"/>
  <c r="B1020" i="11"/>
  <c r="B1019" i="11"/>
  <c r="B1018" i="11"/>
  <c r="B1017" i="11"/>
  <c r="B1016" i="11"/>
  <c r="B1015" i="11"/>
  <c r="B1014" i="11"/>
  <c r="B1013" i="11"/>
  <c r="B1012" i="11"/>
  <c r="B1011" i="11"/>
  <c r="B1010" i="11"/>
  <c r="B1009" i="11"/>
  <c r="B1008" i="11"/>
  <c r="B1007" i="11"/>
  <c r="B1006" i="11"/>
  <c r="B1005" i="11"/>
  <c r="B1004" i="11"/>
  <c r="B1003" i="11"/>
  <c r="B1002" i="11"/>
  <c r="B1001" i="11"/>
  <c r="B1000" i="11"/>
  <c r="B999" i="11"/>
  <c r="B998" i="11"/>
  <c r="B997" i="11"/>
  <c r="B996" i="11"/>
  <c r="B995" i="11"/>
  <c r="B994" i="11"/>
  <c r="B993" i="11"/>
  <c r="B992" i="11"/>
  <c r="B991" i="11"/>
  <c r="B990" i="11"/>
  <c r="B989" i="11"/>
  <c r="B988" i="11"/>
  <c r="B987" i="11"/>
  <c r="B986" i="11"/>
  <c r="B985" i="11"/>
  <c r="B984" i="11"/>
  <c r="B983" i="11"/>
  <c r="B982" i="11"/>
  <c r="B981" i="11"/>
  <c r="B980" i="11"/>
  <c r="B979" i="11"/>
  <c r="B978" i="11"/>
  <c r="B977" i="11"/>
  <c r="B976" i="11"/>
  <c r="B975" i="11"/>
  <c r="B974" i="11"/>
  <c r="B973" i="11"/>
  <c r="B972" i="11"/>
  <c r="B971" i="11"/>
  <c r="B970" i="11"/>
  <c r="B969" i="11"/>
  <c r="B968" i="11"/>
  <c r="B967" i="11"/>
  <c r="B966" i="11"/>
  <c r="B965" i="11"/>
  <c r="B964" i="11"/>
  <c r="B963" i="11"/>
  <c r="B962" i="11"/>
  <c r="B961" i="11"/>
  <c r="B960" i="11"/>
  <c r="B959" i="11"/>
  <c r="B958" i="11"/>
  <c r="B957" i="11"/>
  <c r="B956" i="11"/>
  <c r="B955" i="11"/>
  <c r="B954" i="11"/>
  <c r="B953" i="11"/>
  <c r="B952" i="11"/>
  <c r="B951" i="11"/>
  <c r="B950" i="11"/>
  <c r="B949" i="11"/>
  <c r="B948" i="11"/>
  <c r="B947" i="11"/>
  <c r="B946" i="11"/>
  <c r="B945" i="11"/>
  <c r="B944" i="11"/>
  <c r="B943" i="11"/>
  <c r="B942" i="11"/>
  <c r="B941" i="11"/>
  <c r="B940" i="11"/>
  <c r="B939" i="11"/>
  <c r="B938" i="11"/>
  <c r="B937" i="11"/>
  <c r="B936" i="11"/>
  <c r="B935" i="11"/>
  <c r="B934" i="11"/>
  <c r="B933" i="11"/>
  <c r="B932" i="11"/>
  <c r="B931" i="11"/>
  <c r="B930" i="11"/>
  <c r="B929" i="11"/>
  <c r="B928" i="11"/>
  <c r="B927" i="11"/>
  <c r="B926" i="11"/>
  <c r="B925" i="11"/>
  <c r="B924" i="11"/>
  <c r="B923" i="11"/>
  <c r="B922" i="11"/>
  <c r="B921" i="11"/>
  <c r="B920" i="11"/>
  <c r="B919" i="11"/>
  <c r="B918" i="11"/>
  <c r="B917" i="11"/>
  <c r="B916" i="11"/>
  <c r="B915" i="11"/>
  <c r="B914" i="11"/>
  <c r="B913" i="11"/>
  <c r="B912" i="11"/>
  <c r="B911" i="11"/>
  <c r="B910" i="11"/>
  <c r="B909" i="11"/>
  <c r="B908" i="11"/>
  <c r="B907" i="11"/>
  <c r="B906" i="11"/>
  <c r="B905" i="11"/>
  <c r="B904" i="11"/>
  <c r="B903" i="11"/>
  <c r="B902" i="11"/>
  <c r="B901" i="11"/>
  <c r="B900" i="11"/>
  <c r="B899" i="11"/>
  <c r="B898" i="11"/>
  <c r="B897" i="11"/>
  <c r="B896" i="11"/>
  <c r="B895" i="11"/>
  <c r="B894" i="11"/>
  <c r="B893" i="11"/>
  <c r="B892" i="11"/>
  <c r="B891" i="11"/>
  <c r="B890" i="11"/>
  <c r="B889" i="11"/>
  <c r="B888" i="11"/>
  <c r="B887" i="11"/>
  <c r="B886" i="11"/>
  <c r="B885" i="11"/>
  <c r="B884" i="11"/>
  <c r="B883" i="11"/>
  <c r="B882" i="11"/>
  <c r="B881" i="11"/>
  <c r="B880" i="11"/>
  <c r="B879" i="11"/>
  <c r="B878" i="11"/>
  <c r="B877" i="11"/>
  <c r="B876" i="11"/>
  <c r="B875" i="11"/>
  <c r="B874" i="11"/>
  <c r="B873" i="11"/>
  <c r="B872" i="11"/>
  <c r="B871" i="11"/>
  <c r="B870" i="11"/>
  <c r="B869" i="11"/>
  <c r="B868" i="11"/>
  <c r="B867" i="11"/>
  <c r="B866" i="11"/>
  <c r="B865" i="11"/>
  <c r="B864" i="11"/>
  <c r="B863" i="11"/>
  <c r="B862" i="11"/>
  <c r="B861" i="11"/>
  <c r="B860" i="11"/>
  <c r="B859" i="11"/>
  <c r="B858" i="11"/>
  <c r="B857" i="11"/>
  <c r="B856" i="11"/>
  <c r="B855" i="11"/>
  <c r="B854" i="11"/>
  <c r="B853" i="11"/>
  <c r="B852" i="11"/>
  <c r="B851" i="11"/>
  <c r="B850" i="11"/>
  <c r="B849" i="11"/>
  <c r="B848" i="11"/>
  <c r="B847" i="11"/>
  <c r="B846" i="11"/>
  <c r="B845" i="11"/>
  <c r="B844" i="11"/>
  <c r="B843" i="11"/>
  <c r="B842" i="11"/>
  <c r="B841" i="11"/>
  <c r="B840" i="11"/>
  <c r="B839" i="11"/>
  <c r="B838" i="11"/>
  <c r="B837" i="11"/>
  <c r="B836" i="11"/>
  <c r="B835" i="11"/>
  <c r="B834" i="11"/>
  <c r="B833" i="11"/>
  <c r="B832" i="11"/>
  <c r="B831" i="11"/>
  <c r="B830" i="11"/>
  <c r="B829" i="11"/>
  <c r="B828" i="11"/>
  <c r="B827" i="11"/>
  <c r="B826" i="11"/>
  <c r="B825" i="11"/>
  <c r="B824" i="11"/>
  <c r="B823" i="11"/>
  <c r="B822" i="11"/>
  <c r="B821" i="11"/>
  <c r="B820" i="11"/>
  <c r="B819" i="11"/>
  <c r="B818" i="11"/>
  <c r="B817" i="11"/>
  <c r="B816" i="11"/>
  <c r="B815" i="11"/>
  <c r="B814" i="11"/>
  <c r="B813" i="11"/>
  <c r="B812" i="11"/>
  <c r="B811" i="11"/>
  <c r="B810" i="11"/>
  <c r="B809" i="11"/>
  <c r="B808" i="11"/>
  <c r="B807" i="11"/>
  <c r="B806" i="11"/>
  <c r="B805" i="11"/>
  <c r="B804" i="11"/>
  <c r="B803" i="11"/>
  <c r="B802" i="11"/>
  <c r="B801" i="11"/>
  <c r="B800" i="11"/>
  <c r="B799" i="11"/>
  <c r="B798" i="11"/>
  <c r="B797" i="11"/>
  <c r="B796" i="11"/>
  <c r="B795" i="11"/>
  <c r="B794" i="11"/>
  <c r="B793" i="11"/>
  <c r="B792" i="11"/>
  <c r="B791" i="11"/>
  <c r="B790" i="11"/>
  <c r="B789" i="11"/>
  <c r="B788" i="11"/>
  <c r="B787" i="11"/>
  <c r="B786" i="11"/>
  <c r="B785" i="11"/>
  <c r="B784" i="11"/>
  <c r="B783" i="11"/>
  <c r="B782" i="11"/>
  <c r="B781" i="11"/>
  <c r="B780" i="11"/>
  <c r="B779" i="11"/>
  <c r="B778" i="11"/>
  <c r="B777" i="11"/>
  <c r="B776" i="11"/>
  <c r="B775" i="11"/>
  <c r="B774" i="11"/>
  <c r="B773" i="11"/>
  <c r="B772" i="11"/>
  <c r="B771" i="11"/>
  <c r="B770" i="11"/>
  <c r="B769" i="11"/>
  <c r="B768" i="11"/>
  <c r="B767" i="11"/>
  <c r="B766" i="11"/>
  <c r="B765" i="11"/>
  <c r="B764" i="11"/>
  <c r="B763" i="11"/>
  <c r="B762" i="11"/>
  <c r="B761" i="11"/>
  <c r="B760" i="11"/>
  <c r="B759" i="11"/>
  <c r="B758" i="11"/>
  <c r="B757" i="11"/>
  <c r="B756" i="11"/>
  <c r="B755" i="11"/>
  <c r="B754" i="11"/>
  <c r="B753" i="11"/>
  <c r="B752" i="11"/>
  <c r="B751" i="11"/>
  <c r="B750" i="11"/>
  <c r="B749" i="11"/>
  <c r="B748" i="11"/>
  <c r="B747" i="11"/>
  <c r="B746" i="11"/>
  <c r="B745" i="11"/>
  <c r="B744" i="11"/>
  <c r="B743" i="11"/>
  <c r="B742" i="11"/>
  <c r="B741" i="11"/>
  <c r="B740" i="11"/>
  <c r="B739" i="11"/>
  <c r="B738" i="11"/>
  <c r="B737" i="11"/>
  <c r="B736" i="11"/>
  <c r="B735" i="11"/>
  <c r="B734" i="11"/>
  <c r="B733" i="11"/>
  <c r="B732" i="11"/>
  <c r="B731" i="11"/>
  <c r="B730" i="11"/>
  <c r="B729" i="11"/>
  <c r="B728" i="11"/>
  <c r="B727" i="11"/>
  <c r="B726" i="11"/>
  <c r="B725" i="11"/>
  <c r="B724" i="11"/>
  <c r="B723" i="11"/>
  <c r="B722" i="11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J27" i="11"/>
  <c r="B28" i="11"/>
  <c r="J26" i="11"/>
  <c r="B27" i="11"/>
  <c r="J25" i="11"/>
  <c r="B26" i="11"/>
  <c r="B25" i="11"/>
  <c r="B24" i="11"/>
  <c r="J22" i="11"/>
  <c r="B23" i="11"/>
  <c r="B22" i="11"/>
  <c r="J20" i="11"/>
  <c r="B21" i="11"/>
  <c r="B20" i="11"/>
  <c r="B19" i="11"/>
  <c r="B18" i="11"/>
  <c r="B17" i="11"/>
  <c r="B16" i="11"/>
  <c r="B15" i="11"/>
  <c r="B14" i="11"/>
  <c r="J13" i="11"/>
  <c r="J15" i="11" s="1"/>
  <c r="B13" i="11"/>
  <c r="B12" i="11"/>
  <c r="B11" i="11"/>
  <c r="B10" i="11"/>
  <c r="B9" i="11"/>
  <c r="B8" i="11"/>
  <c r="B7" i="11"/>
  <c r="B6" i="11"/>
  <c r="B5" i="11"/>
  <c r="B4" i="11"/>
  <c r="J20" i="1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7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3" i="1"/>
  <c r="B2362" i="1"/>
  <c r="B2361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20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2251" i="1"/>
  <c r="B2250" i="1"/>
  <c r="B2249" i="1"/>
  <c r="B2248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34" i="1"/>
  <c r="B2233" i="1"/>
  <c r="B2232" i="1"/>
  <c r="B2231" i="1"/>
  <c r="B2230" i="1"/>
  <c r="B2229" i="1"/>
  <c r="B2228" i="1"/>
  <c r="B2227" i="1"/>
  <c r="B2226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13" i="1"/>
  <c r="B2212" i="1"/>
  <c r="B2211" i="1"/>
  <c r="B2210" i="1"/>
  <c r="B2209" i="1"/>
  <c r="B2208" i="1"/>
  <c r="B2207" i="1"/>
  <c r="B2206" i="1"/>
  <c r="B2205" i="1"/>
  <c r="B2204" i="1"/>
  <c r="B2203" i="1"/>
  <c r="B2202" i="1"/>
  <c r="B2201" i="1"/>
  <c r="B2200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6" i="1"/>
  <c r="B2185" i="1"/>
  <c r="B2184" i="1"/>
  <c r="B2183" i="1"/>
  <c r="B2182" i="1"/>
  <c r="B2181" i="1"/>
  <c r="B2180" i="1"/>
  <c r="B2179" i="1"/>
  <c r="B2178" i="1"/>
  <c r="B2177" i="1"/>
  <c r="B2176" i="1"/>
  <c r="B2175" i="1"/>
  <c r="B2174" i="1"/>
  <c r="B2173" i="1"/>
  <c r="B2172" i="1"/>
  <c r="B2171" i="1"/>
  <c r="B2170" i="1"/>
  <c r="B2169" i="1"/>
  <c r="B2168" i="1"/>
  <c r="B2167" i="1"/>
  <c r="B2166" i="1"/>
  <c r="B2165" i="1"/>
  <c r="B2164" i="1"/>
  <c r="B2163" i="1"/>
  <c r="B2162" i="1"/>
  <c r="B2161" i="1"/>
  <c r="B2160" i="1"/>
  <c r="B2159" i="1"/>
  <c r="B2158" i="1"/>
  <c r="B2157" i="1"/>
  <c r="B2156" i="1"/>
  <c r="B2155" i="1"/>
  <c r="B2154" i="1"/>
  <c r="B2153" i="1"/>
  <c r="B2152" i="1"/>
  <c r="B2151" i="1"/>
  <c r="B2150" i="1"/>
  <c r="B2149" i="1"/>
  <c r="B2148" i="1"/>
  <c r="B2147" i="1"/>
  <c r="B2146" i="1"/>
  <c r="B2145" i="1"/>
  <c r="B2144" i="1"/>
  <c r="B2143" i="1"/>
  <c r="B2142" i="1"/>
  <c r="B2141" i="1"/>
  <c r="B2140" i="1"/>
  <c r="B2139" i="1"/>
  <c r="B2138" i="1"/>
  <c r="B2137" i="1"/>
  <c r="B2136" i="1"/>
  <c r="B2135" i="1"/>
  <c r="B2134" i="1"/>
  <c r="B2133" i="1"/>
  <c r="B2132" i="1"/>
  <c r="B2131" i="1"/>
  <c r="B2130" i="1"/>
  <c r="B2129" i="1"/>
  <c r="B2128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114" i="1"/>
  <c r="B2113" i="1"/>
  <c r="B2112" i="1"/>
  <c r="B2111" i="1"/>
  <c r="B2110" i="1"/>
  <c r="B2109" i="1"/>
  <c r="B2108" i="1"/>
  <c r="B2107" i="1"/>
  <c r="B2106" i="1"/>
  <c r="B2105" i="1"/>
  <c r="B2104" i="1"/>
  <c r="B2103" i="1"/>
  <c r="B2102" i="1"/>
  <c r="B2101" i="1"/>
  <c r="B2100" i="1"/>
  <c r="B2099" i="1"/>
  <c r="B2098" i="1"/>
  <c r="B2097" i="1"/>
  <c r="B2096" i="1"/>
  <c r="B2095" i="1"/>
  <c r="B2094" i="1"/>
  <c r="B2093" i="1"/>
  <c r="B2092" i="1"/>
  <c r="B2091" i="1"/>
  <c r="B2090" i="1"/>
  <c r="B2089" i="1"/>
  <c r="B2088" i="1"/>
  <c r="B2087" i="1"/>
  <c r="B2086" i="1"/>
  <c r="B2085" i="1"/>
  <c r="B2084" i="1"/>
  <c r="B2083" i="1"/>
  <c r="B2082" i="1"/>
  <c r="B2081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2045" i="1"/>
  <c r="B2044" i="1"/>
  <c r="B2043" i="1"/>
  <c r="B2042" i="1"/>
  <c r="B2041" i="1"/>
  <c r="B2040" i="1"/>
  <c r="B2039" i="1"/>
  <c r="B2038" i="1"/>
  <c r="B2037" i="1"/>
  <c r="B2036" i="1"/>
  <c r="B2035" i="1"/>
  <c r="B2034" i="1"/>
  <c r="B2033" i="1"/>
  <c r="B2032" i="1"/>
  <c r="B2031" i="1"/>
  <c r="B2030" i="1"/>
  <c r="B2029" i="1"/>
  <c r="B2028" i="1"/>
  <c r="B2027" i="1"/>
  <c r="B2026" i="1"/>
  <c r="B2025" i="1"/>
  <c r="B2024" i="1"/>
  <c r="B2023" i="1"/>
  <c r="B2022" i="1"/>
  <c r="B2021" i="1"/>
  <c r="B2020" i="1"/>
  <c r="B2019" i="1"/>
  <c r="B2018" i="1"/>
  <c r="B2017" i="1"/>
  <c r="B2016" i="1"/>
  <c r="B2015" i="1"/>
  <c r="B2014" i="1"/>
  <c r="B2013" i="1"/>
  <c r="B2012" i="1"/>
  <c r="B2011" i="1"/>
  <c r="B2010" i="1"/>
  <c r="B2009" i="1"/>
  <c r="B2008" i="1"/>
  <c r="B2007" i="1"/>
  <c r="B2006" i="1"/>
  <c r="B2005" i="1"/>
  <c r="B2004" i="1"/>
  <c r="B2003" i="1"/>
  <c r="B2002" i="1"/>
  <c r="B2001" i="1"/>
  <c r="B2000" i="1"/>
  <c r="B1999" i="1"/>
  <c r="B1998" i="1"/>
  <c r="B1997" i="1"/>
  <c r="B1996" i="1"/>
  <c r="B1995" i="1"/>
  <c r="B1994" i="1"/>
  <c r="B1993" i="1"/>
  <c r="B1992" i="1"/>
  <c r="B1991" i="1"/>
  <c r="B1990" i="1"/>
  <c r="B1989" i="1"/>
  <c r="B1988" i="1"/>
  <c r="B1987" i="1"/>
  <c r="B1986" i="1"/>
  <c r="B1985" i="1"/>
  <c r="B1984" i="1"/>
  <c r="B1983" i="1"/>
  <c r="B1982" i="1"/>
  <c r="B1981" i="1"/>
  <c r="B1980" i="1"/>
  <c r="B1979" i="1"/>
  <c r="B1978" i="1"/>
  <c r="B1977" i="1"/>
  <c r="B1976" i="1"/>
  <c r="B1975" i="1"/>
  <c r="B1974" i="1"/>
  <c r="B1973" i="1"/>
  <c r="B1972" i="1"/>
  <c r="B1971" i="1"/>
  <c r="B1970" i="1"/>
  <c r="B1969" i="1"/>
  <c r="B1968" i="1"/>
  <c r="B1967" i="1"/>
  <c r="B1966" i="1"/>
  <c r="B1965" i="1"/>
  <c r="B1964" i="1"/>
  <c r="B1963" i="1"/>
  <c r="B1962" i="1"/>
  <c r="B1961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43" i="1"/>
  <c r="B1942" i="1"/>
  <c r="B1941" i="1"/>
  <c r="B1940" i="1"/>
  <c r="B1939" i="1"/>
  <c r="B1938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907" i="1"/>
  <c r="B1906" i="1"/>
  <c r="B1905" i="1"/>
  <c r="B1904" i="1"/>
  <c r="B1903" i="1"/>
  <c r="B1902" i="1"/>
  <c r="B1901" i="1"/>
  <c r="B1900" i="1"/>
  <c r="B1899" i="1"/>
  <c r="B1898" i="1"/>
  <c r="B1897" i="1"/>
  <c r="B1896" i="1"/>
  <c r="B1895" i="1"/>
  <c r="B1894" i="1"/>
  <c r="B1893" i="1"/>
  <c r="B1892" i="1"/>
  <c r="B1891" i="1"/>
  <c r="B1890" i="1"/>
  <c r="B1889" i="1"/>
  <c r="B1888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B1849" i="1"/>
  <c r="B1848" i="1"/>
  <c r="B1847" i="1"/>
  <c r="B1846" i="1"/>
  <c r="B1845" i="1"/>
  <c r="B1844" i="1"/>
  <c r="B1843" i="1"/>
  <c r="B1842" i="1"/>
  <c r="B1841" i="1"/>
  <c r="B1840" i="1"/>
  <c r="B1839" i="1"/>
  <c r="B1838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9" i="1"/>
  <c r="B1818" i="1"/>
  <c r="B1817" i="1"/>
  <c r="B1816" i="1"/>
  <c r="B1815" i="1"/>
  <c r="B1814" i="1"/>
  <c r="B1813" i="1"/>
  <c r="B1812" i="1"/>
  <c r="B1811" i="1"/>
  <c r="B1810" i="1"/>
  <c r="B1809" i="1"/>
  <c r="B1808" i="1"/>
  <c r="B1807" i="1"/>
  <c r="B1806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9" i="1"/>
  <c r="B1768" i="1"/>
  <c r="B1767" i="1"/>
  <c r="B1766" i="1"/>
  <c r="B1765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52" i="1"/>
  <c r="B1751" i="1"/>
  <c r="B1750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B1718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1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J27" i="1"/>
  <c r="B27" i="1"/>
  <c r="J26" i="1"/>
  <c r="B26" i="1"/>
  <c r="J25" i="1"/>
  <c r="B25" i="1"/>
  <c r="B24" i="1"/>
  <c r="B23" i="1"/>
  <c r="J22" i="1"/>
  <c r="B22" i="1"/>
  <c r="B21" i="1"/>
  <c r="B20" i="1"/>
  <c r="B19" i="1"/>
  <c r="B18" i="1"/>
  <c r="B17" i="1"/>
  <c r="B16" i="1"/>
  <c r="B15" i="1"/>
  <c r="B14" i="1"/>
  <c r="J13" i="1"/>
  <c r="J15" i="1" s="1"/>
  <c r="J23" i="1" s="1"/>
  <c r="B13" i="1"/>
  <c r="B12" i="1"/>
  <c r="B11" i="1"/>
  <c r="B10" i="1"/>
  <c r="B9" i="1"/>
  <c r="B8" i="1"/>
  <c r="B7" i="1"/>
  <c r="B6" i="1"/>
  <c r="B5" i="1"/>
  <c r="B4" i="1"/>
  <c r="J23" i="17" l="1"/>
  <c r="J23" i="16"/>
  <c r="J23" i="15"/>
  <c r="J23" i="14"/>
  <c r="J23" i="12"/>
  <c r="J23" i="11"/>
</calcChain>
</file>

<file path=xl/sharedStrings.xml><?xml version="1.0" encoding="utf-8"?>
<sst xmlns="http://schemas.openxmlformats.org/spreadsheetml/2006/main" count="294" uniqueCount="56">
  <si>
    <t>DATA:</t>
  </si>
  <si>
    <t>INFORMATION:</t>
  </si>
  <si>
    <t>Shot Number</t>
  </si>
  <si>
    <t>Log Time</t>
  </si>
  <si>
    <t>Interval (ms)</t>
  </si>
  <si>
    <t>Blowback (ms)</t>
  </si>
  <si>
    <t>Return (ms)</t>
  </si>
  <si>
    <t>Cycle (ms)</t>
  </si>
  <si>
    <t>Trial:</t>
  </si>
  <si>
    <t>Propellant:</t>
  </si>
  <si>
    <t>PROPANE</t>
  </si>
  <si>
    <t>Propellant Mass to Test (g):</t>
  </si>
  <si>
    <t>Magazine Used:</t>
  </si>
  <si>
    <t>Nozzle Used:</t>
  </si>
  <si>
    <t>High Flow, Open</t>
  </si>
  <si>
    <t>Empty Magazine Mass (g):</t>
  </si>
  <si>
    <t>Charged Magazine Mass (g):</t>
  </si>
  <si>
    <t>Fired Magazine Mass (g):</t>
  </si>
  <si>
    <t>Gas Consumed (g):</t>
  </si>
  <si>
    <t>Temp (ambient)</t>
  </si>
  <si>
    <t>Temp Mag (initial)</t>
  </si>
  <si>
    <t>Temp Mag (final)</t>
  </si>
  <si>
    <t>Total Shots:</t>
  </si>
  <si>
    <t>Gram Propellant per Shot:</t>
  </si>
  <si>
    <t>Average Blowback Time:</t>
  </si>
  <si>
    <t>Average Return Time:</t>
  </si>
  <si>
    <t>Average Interval Time:</t>
  </si>
  <si>
    <t xml:space="preserve"> </t>
  </si>
  <si>
    <t>CO2</t>
  </si>
  <si>
    <t/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</si>
  <si>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</si>
  <si>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</si>
  <si>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</si>
  <si>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</si>
  <si>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</si>
  <si>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</si>
  <si>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</si>
  <si>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</si>
  <si>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</si>
  <si>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</si>
  <si>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</si>
  <si>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</si>
  <si>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</si>
  <si>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</si>
  <si>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</si>
  <si>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</si>
  <si>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</si>
  <si>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</si>
  <si>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Out (To Device)</t>
  </si>
  <si>
    <t>Data entered into the channels below will be sent to the currently connected device as a comma-delimited string.</t>
  </si>
  <si>
    <t>Data In (From Arduino Mega 2560 (COM5))</t>
  </si>
  <si>
    <t>Data coming from the current data source will appear below as it is received.</t>
  </si>
  <si>
    <t>Current Data</t>
  </si>
  <si>
    <t>TIME</t>
  </si>
  <si>
    <t>Historical Data</t>
  </si>
  <si>
    <t>Temp Delta (f):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</si>
</sst>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rgb="FF505050"/>
      <name val="Segoe UI"/>
      <family val="2"/>
    </font>
    <font>
      <sz val="12"/>
      <color rgb="FF505050"/>
      <name val="Calibri"/>
      <family val="2"/>
      <scheme val="minor"/>
    </font>
    <font>
      <sz val="12"/>
      <color rgb="FFDAE3E3"/>
      <name val="Calibri"/>
      <family val="2"/>
      <scheme val="minor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3"/>
      <color rgb="FF505050"/>
      <name val="Segoe UI"/>
      <family val="2"/>
    </font>
    <font>
      <sz val="11"/>
      <name val="Segoe UI"/>
      <family val="2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1" fillId="2" borderId="5" xfId="0" applyFont="1" applyFill="1" applyBorder="1"/>
    <xf numFmtId="0" fontId="1" fillId="2" borderId="6" xfId="0" applyFont="1" applyFill="1" applyBorder="1"/>
    <xf numFmtId="0" fontId="2" fillId="0" borderId="0" xfId="0" applyFont="1" applyAlignment="1">
      <alignment horizontal="center"/>
    </xf>
    <xf numFmtId="164" fontId="3" fillId="3" borderId="7" xfId="0" applyNumberFormat="1" applyFont="1" applyFill="1" applyBorder="1" applyAlignment="1" applyProtection="1">
      <alignment horizontal="left" vertical="center" indent="1"/>
      <protection locked="0"/>
    </xf>
    <xf numFmtId="0" fontId="3" fillId="3" borderId="7" xfId="0" quotePrefix="1" applyFont="1" applyFill="1" applyBorder="1" applyAlignment="1" applyProtection="1">
      <alignment horizontal="right" vertical="center" indent="1"/>
      <protection locked="0"/>
    </xf>
    <xf numFmtId="0" fontId="1" fillId="0" borderId="0" xfId="0" applyFont="1" applyAlignment="1">
      <alignment horizontal="center"/>
    </xf>
    <xf numFmtId="0" fontId="1" fillId="0" borderId="8" xfId="0" applyFont="1" applyBorder="1"/>
    <xf numFmtId="0" fontId="4" fillId="0" borderId="9" xfId="0" applyFont="1" applyBorder="1" applyAlignment="1" applyProtection="1">
      <alignment horizontal="center" vertical="center"/>
      <protection locked="0"/>
    </xf>
    <xf numFmtId="0" fontId="1" fillId="2" borderId="10" xfId="0" applyFont="1" applyFill="1" applyBorder="1"/>
    <xf numFmtId="0" fontId="1" fillId="0" borderId="11" xfId="0" applyFont="1" applyBorder="1"/>
    <xf numFmtId="0" fontId="1" fillId="0" borderId="6" xfId="0" applyFont="1" applyBorder="1" applyAlignment="1">
      <alignment horizontal="center"/>
    </xf>
    <xf numFmtId="0" fontId="1" fillId="0" borderId="12" xfId="0" applyFont="1" applyBorder="1"/>
    <xf numFmtId="0" fontId="4" fillId="0" borderId="13" xfId="0" applyFont="1" applyBorder="1" applyAlignment="1" applyProtection="1">
      <alignment horizontal="center" vertical="center"/>
      <protection locked="0"/>
    </xf>
    <xf numFmtId="0" fontId="1" fillId="2" borderId="11" xfId="0" applyFont="1" applyFill="1" applyBorder="1"/>
    <xf numFmtId="0" fontId="1" fillId="2" borderId="6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2" xfId="0" applyFont="1" applyFill="1" applyBorder="1"/>
    <xf numFmtId="0" fontId="1" fillId="2" borderId="13" xfId="0" applyFont="1" applyFill="1" applyBorder="1" applyAlignment="1">
      <alignment horizontal="center"/>
    </xf>
    <xf numFmtId="0" fontId="1" fillId="0" borderId="14" xfId="0" applyFont="1" applyBorder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2" borderId="14" xfId="0" applyFont="1" applyFill="1" applyBorder="1"/>
    <xf numFmtId="0" fontId="1" fillId="2" borderId="9" xfId="0" applyFont="1" applyFill="1" applyBorder="1" applyAlignment="1">
      <alignment horizontal="center"/>
    </xf>
    <xf numFmtId="0" fontId="1" fillId="2" borderId="15" xfId="0" applyFont="1" applyFill="1" applyBorder="1"/>
    <xf numFmtId="0" fontId="1" fillId="2" borderId="13" xfId="0" applyFont="1" applyFill="1" applyBorder="1"/>
    <xf numFmtId="0" fontId="1" fillId="2" borderId="9" xfId="0" applyFont="1" applyFill="1" applyBorder="1"/>
    <xf numFmtId="3" fontId="5" fillId="0" borderId="0" xfId="0" applyNumberFormat="1" applyFont="1" applyAlignment="1">
      <alignment horizontal="center" vertical="center"/>
    </xf>
    <xf numFmtId="164" fontId="3" fillId="4" borderId="7" xfId="0" applyNumberFormat="1" applyFont="1" applyFill="1" applyBorder="1" applyAlignment="1" applyProtection="1">
      <alignment horizontal="left" vertical="center" indent="1"/>
      <protection locked="0"/>
    </xf>
    <xf numFmtId="0" fontId="3" fillId="4" borderId="7" xfId="0" applyFont="1" applyFill="1" applyBorder="1" applyAlignment="1" applyProtection="1">
      <alignment horizontal="right" vertical="center" indent="1"/>
      <protection locked="0"/>
    </xf>
    <xf numFmtId="0" fontId="3" fillId="4" borderId="7" xfId="0" quotePrefix="1" applyFont="1" applyFill="1" applyBorder="1" applyAlignment="1" applyProtection="1">
      <alignment horizontal="right" vertical="center" indent="1"/>
      <protection locked="0"/>
    </xf>
    <xf numFmtId="0" fontId="3" fillId="3" borderId="7" xfId="0" applyFont="1" applyFill="1" applyBorder="1" applyAlignment="1" applyProtection="1">
      <alignment horizontal="right" vertical="center" indent="1"/>
      <protection locked="0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0" fillId="5" borderId="0" xfId="0" applyFill="1"/>
    <xf numFmtId="0" fontId="0" fillId="6" borderId="0" xfId="0" applyFill="1" applyProtection="1">
      <protection locked="0"/>
    </xf>
    <xf numFmtId="0" fontId="12" fillId="6" borderId="0" xfId="0" applyFont="1" applyFill="1" applyAlignment="1" applyProtection="1">
      <alignment horizontal="left" vertical="center" indent="1"/>
      <protection locked="0"/>
    </xf>
    <xf numFmtId="0" fontId="8" fillId="5" borderId="16" xfId="0" applyFont="1" applyFill="1" applyBorder="1" applyAlignment="1" applyProtection="1">
      <alignment horizontal="left" vertical="center" indent="1"/>
      <protection locked="0"/>
    </xf>
    <xf numFmtId="0" fontId="3" fillId="8" borderId="19" xfId="0" applyFont="1" applyFill="1" applyBorder="1" applyAlignment="1" applyProtection="1">
      <alignment horizontal="right" vertical="center" indent="1"/>
      <protection locked="0"/>
    </xf>
    <xf numFmtId="0" fontId="11" fillId="9" borderId="0" xfId="0" applyFont="1" applyFill="1" applyAlignment="1">
      <alignment horizontal="center" vertical="center"/>
    </xf>
    <xf numFmtId="0" fontId="3" fillId="10" borderId="20" xfId="0" applyFont="1" applyFill="1" applyBorder="1" applyAlignment="1" applyProtection="1">
      <alignment horizontal="right" vertical="center" indent="1"/>
      <protection locked="0"/>
    </xf>
    <xf numFmtId="164" fontId="3" fillId="10" borderId="20" xfId="0" applyNumberFormat="1" applyFont="1" applyFill="1" applyBorder="1" applyAlignment="1" applyProtection="1">
      <alignment horizontal="left" vertical="center" indent="1"/>
      <protection locked="0"/>
    </xf>
    <xf numFmtId="0" fontId="3" fillId="3" borderId="22" xfId="0" applyFont="1" applyFill="1" applyBorder="1" applyAlignment="1" applyProtection="1">
      <alignment horizontal="right" vertical="center" indent="1"/>
      <protection locked="0"/>
    </xf>
    <xf numFmtId="164" fontId="3" fillId="3" borderId="22" xfId="0" applyNumberFormat="1" applyFont="1" applyFill="1" applyBorder="1" applyAlignment="1" applyProtection="1">
      <alignment horizontal="left" vertical="center" indent="1"/>
      <protection locked="0"/>
    </xf>
    <xf numFmtId="0" fontId="3" fillId="10" borderId="20" xfId="0" quotePrefix="1" applyFont="1" applyFill="1" applyBorder="1" applyAlignment="1" applyProtection="1">
      <alignment horizontal="right" vertical="center" indent="1"/>
      <protection locked="0"/>
    </xf>
    <xf numFmtId="0" fontId="0" fillId="0" borderId="13" xfId="0" applyBorder="1" applyAlignment="1">
      <alignment horizontal="center"/>
    </xf>
    <xf numFmtId="0" fontId="17" fillId="0" borderId="0" xfId="0" applyFont="1"/>
    <xf numFmtId="0" fontId="16" fillId="0" borderId="0" xfId="0" quotePrefix="1" applyFont="1" applyAlignment="1" applyProtection="1">
      <alignment horizontal="right" vertical="center" indent="1"/>
      <protection locked="0"/>
    </xf>
    <xf numFmtId="0" fontId="16" fillId="3" borderId="0" xfId="0" quotePrefix="1" applyFont="1" applyFill="1" applyAlignment="1" applyProtection="1">
      <alignment horizontal="right" vertical="center" indent="1"/>
      <protection locked="0"/>
    </xf>
    <xf numFmtId="0" fontId="7" fillId="6" borderId="0" xfId="0" applyFont="1" applyFill="1" applyAlignment="1">
      <alignment horizontal="left" vertical="center" indent="1"/>
    </xf>
    <xf numFmtId="0" fontId="14" fillId="7" borderId="17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indent="1"/>
    </xf>
    <xf numFmtId="0" fontId="10" fillId="5" borderId="0" xfId="0" applyFont="1" applyFill="1" applyAlignment="1">
      <alignment horizontal="left" vertical="top" wrapText="1" indent="1"/>
    </xf>
    <xf numFmtId="0" fontId="15" fillId="5" borderId="0" xfId="0" applyFont="1" applyFill="1" applyAlignment="1">
      <alignment horizontal="left" indent="1"/>
    </xf>
    <xf numFmtId="0" fontId="15" fillId="5" borderId="21" xfId="0" applyFont="1" applyFill="1" applyBorder="1" applyAlignment="1">
      <alignment horizontal="left" indent="1"/>
    </xf>
    <xf numFmtId="0" fontId="9" fillId="0" borderId="0" xfId="0" applyFont="1" applyAlignment="1">
      <alignment horizontal="left" indent="1"/>
    </xf>
    <xf numFmtId="0" fontId="10" fillId="0" borderId="0" xfId="0" applyFont="1" applyAlignment="1">
      <alignment horizontal="left" vertical="top" wrapText="1" indent="1"/>
    </xf>
    <xf numFmtId="0" fontId="9" fillId="6" borderId="0" xfId="0" applyFont="1" applyFill="1" applyAlignment="1" applyProtection="1">
      <alignment horizontal="left" indent="1"/>
      <protection locked="0"/>
    </xf>
    <xf numFmtId="0" fontId="10" fillId="6" borderId="0" xfId="0" applyFont="1" applyFill="1" applyAlignment="1" applyProtection="1">
      <alignment horizontal="left" vertical="top" wrapText="1" indent="1"/>
      <protection locked="0"/>
    </xf>
    <xf numFmtId="0" fontId="13" fillId="6" borderId="0" xfId="0" applyFont="1" applyFill="1" applyAlignment="1" applyProtection="1">
      <alignment horizontal="left" vertical="center" wrapText="1" indent="1"/>
      <protection locked="0"/>
    </xf>
  </cellXfs>
  <cellStyles count="1">
    <cellStyle name="Normal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C4278084-C04E-44B5-9516-A39D65B9DF9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TEMPLATE!$E$4:$E$1048576</c:f>
              <c:numCache>
                <c:formatCode>General</c:formatCode>
                <c:ptCount val="104857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A9-4F38-943E-2D7B74934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TEMPLATE!$B$3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TEMPLATE!$E$3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'12gCO2_A1'!$E$4:$E$1048576</c:f>
              <c:numCache>
                <c:formatCode>General</c:formatCode>
                <c:ptCount val="1048573"/>
                <c:pt idx="0">
                  <c:v>17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17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19</c:v>
                </c:pt>
                <c:pt idx="17">
                  <c:v>18</c:v>
                </c:pt>
                <c:pt idx="18">
                  <c:v>20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19</c:v>
                </c:pt>
                <c:pt idx="23">
                  <c:v>20</c:v>
                </c:pt>
                <c:pt idx="24">
                  <c:v>20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19</c:v>
                </c:pt>
                <c:pt idx="31">
                  <c:v>21</c:v>
                </c:pt>
                <c:pt idx="32">
                  <c:v>20</c:v>
                </c:pt>
                <c:pt idx="33">
                  <c:v>20</c:v>
                </c:pt>
                <c:pt idx="34">
                  <c:v>21</c:v>
                </c:pt>
                <c:pt idx="35">
                  <c:v>21</c:v>
                </c:pt>
                <c:pt idx="36">
                  <c:v>22</c:v>
                </c:pt>
                <c:pt idx="37">
                  <c:v>22</c:v>
                </c:pt>
                <c:pt idx="38">
                  <c:v>20</c:v>
                </c:pt>
                <c:pt idx="39">
                  <c:v>22</c:v>
                </c:pt>
                <c:pt idx="40">
                  <c:v>21</c:v>
                </c:pt>
                <c:pt idx="41">
                  <c:v>21</c:v>
                </c:pt>
                <c:pt idx="42">
                  <c:v>23</c:v>
                </c:pt>
                <c:pt idx="43">
                  <c:v>22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27</c:v>
                </c:pt>
                <c:pt idx="53">
                  <c:v>27</c:v>
                </c:pt>
                <c:pt idx="54">
                  <c:v>26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31</c:v>
                </c:pt>
                <c:pt idx="59">
                  <c:v>30</c:v>
                </c:pt>
                <c:pt idx="60">
                  <c:v>32</c:v>
                </c:pt>
                <c:pt idx="61">
                  <c:v>32</c:v>
                </c:pt>
                <c:pt idx="62">
                  <c:v>33</c:v>
                </c:pt>
                <c:pt idx="63">
                  <c:v>36</c:v>
                </c:pt>
                <c:pt idx="64">
                  <c:v>42</c:v>
                </c:pt>
                <c:pt idx="65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7C-48D5-8426-CDE888D3F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'12gCO2_A1'!$B$3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'12gCO2_A1'!$E$3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'12gCO2_A2'!$E$4:$E$1048576</c:f>
              <c:numCache>
                <c:formatCode>General</c:formatCode>
                <c:ptCount val="1048573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18</c:v>
                </c:pt>
                <c:pt idx="7">
                  <c:v>19</c:v>
                </c:pt>
                <c:pt idx="8">
                  <c:v>17</c:v>
                </c:pt>
                <c:pt idx="9">
                  <c:v>19</c:v>
                </c:pt>
                <c:pt idx="10">
                  <c:v>19</c:v>
                </c:pt>
                <c:pt idx="11">
                  <c:v>18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18</c:v>
                </c:pt>
                <c:pt idx="18">
                  <c:v>20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19</c:v>
                </c:pt>
                <c:pt idx="23">
                  <c:v>20</c:v>
                </c:pt>
                <c:pt idx="24">
                  <c:v>20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22</c:v>
                </c:pt>
                <c:pt idx="29">
                  <c:v>20</c:v>
                </c:pt>
                <c:pt idx="30">
                  <c:v>20</c:v>
                </c:pt>
                <c:pt idx="31">
                  <c:v>22</c:v>
                </c:pt>
                <c:pt idx="32">
                  <c:v>21</c:v>
                </c:pt>
                <c:pt idx="33">
                  <c:v>23</c:v>
                </c:pt>
                <c:pt idx="34">
                  <c:v>22</c:v>
                </c:pt>
                <c:pt idx="35">
                  <c:v>22</c:v>
                </c:pt>
                <c:pt idx="36">
                  <c:v>23</c:v>
                </c:pt>
                <c:pt idx="37">
                  <c:v>21</c:v>
                </c:pt>
                <c:pt idx="38">
                  <c:v>22</c:v>
                </c:pt>
                <c:pt idx="39">
                  <c:v>23</c:v>
                </c:pt>
                <c:pt idx="40">
                  <c:v>22</c:v>
                </c:pt>
                <c:pt idx="41">
                  <c:v>24</c:v>
                </c:pt>
                <c:pt idx="42">
                  <c:v>25</c:v>
                </c:pt>
                <c:pt idx="43">
                  <c:v>23</c:v>
                </c:pt>
                <c:pt idx="44">
                  <c:v>25</c:v>
                </c:pt>
                <c:pt idx="45">
                  <c:v>23</c:v>
                </c:pt>
                <c:pt idx="46">
                  <c:v>25</c:v>
                </c:pt>
                <c:pt idx="47">
                  <c:v>26</c:v>
                </c:pt>
                <c:pt idx="48">
                  <c:v>25</c:v>
                </c:pt>
                <c:pt idx="49">
                  <c:v>26</c:v>
                </c:pt>
                <c:pt idx="50">
                  <c:v>25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31</c:v>
                </c:pt>
                <c:pt idx="60">
                  <c:v>32</c:v>
                </c:pt>
                <c:pt idx="61">
                  <c:v>31</c:v>
                </c:pt>
                <c:pt idx="62">
                  <c:v>32</c:v>
                </c:pt>
                <c:pt idx="63">
                  <c:v>33</c:v>
                </c:pt>
                <c:pt idx="64">
                  <c:v>36</c:v>
                </c:pt>
                <c:pt idx="65">
                  <c:v>39</c:v>
                </c:pt>
                <c:pt idx="66">
                  <c:v>42</c:v>
                </c:pt>
                <c:pt idx="67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07-4287-8DE3-E42E138D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'12gCO2_A2'!$B$3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'12gCO2_A2'!$E$3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'12gCO2_A3'!$E$4:$E$1048576</c:f>
              <c:numCache>
                <c:formatCode>General</c:formatCode>
                <c:ptCount val="1048573"/>
                <c:pt idx="0">
                  <c:v>17</c:v>
                </c:pt>
                <c:pt idx="1">
                  <c:v>19</c:v>
                </c:pt>
                <c:pt idx="2">
                  <c:v>17</c:v>
                </c:pt>
                <c:pt idx="3">
                  <c:v>18</c:v>
                </c:pt>
                <c:pt idx="4">
                  <c:v>17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19</c:v>
                </c:pt>
                <c:pt idx="13">
                  <c:v>20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20</c:v>
                </c:pt>
                <c:pt idx="19">
                  <c:v>19</c:v>
                </c:pt>
                <c:pt idx="20">
                  <c:v>21</c:v>
                </c:pt>
                <c:pt idx="21">
                  <c:v>20</c:v>
                </c:pt>
                <c:pt idx="22">
                  <c:v>21</c:v>
                </c:pt>
                <c:pt idx="23">
                  <c:v>19</c:v>
                </c:pt>
                <c:pt idx="24">
                  <c:v>20</c:v>
                </c:pt>
                <c:pt idx="25">
                  <c:v>21</c:v>
                </c:pt>
                <c:pt idx="26">
                  <c:v>20</c:v>
                </c:pt>
                <c:pt idx="27">
                  <c:v>22</c:v>
                </c:pt>
                <c:pt idx="28">
                  <c:v>21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21</c:v>
                </c:pt>
                <c:pt idx="34">
                  <c:v>22</c:v>
                </c:pt>
                <c:pt idx="35">
                  <c:v>22</c:v>
                </c:pt>
                <c:pt idx="36">
                  <c:v>23</c:v>
                </c:pt>
                <c:pt idx="37">
                  <c:v>23</c:v>
                </c:pt>
                <c:pt idx="38">
                  <c:v>22</c:v>
                </c:pt>
                <c:pt idx="39">
                  <c:v>23</c:v>
                </c:pt>
                <c:pt idx="40">
                  <c:v>24</c:v>
                </c:pt>
                <c:pt idx="41">
                  <c:v>24</c:v>
                </c:pt>
                <c:pt idx="42">
                  <c:v>25</c:v>
                </c:pt>
                <c:pt idx="43">
                  <c:v>24</c:v>
                </c:pt>
                <c:pt idx="44">
                  <c:v>25</c:v>
                </c:pt>
                <c:pt idx="45">
                  <c:v>26</c:v>
                </c:pt>
                <c:pt idx="46">
                  <c:v>25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27</c:v>
                </c:pt>
                <c:pt idx="51">
                  <c:v>27</c:v>
                </c:pt>
                <c:pt idx="52">
                  <c:v>28</c:v>
                </c:pt>
                <c:pt idx="53">
                  <c:v>29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32</c:v>
                </c:pt>
                <c:pt idx="59">
                  <c:v>32</c:v>
                </c:pt>
                <c:pt idx="60">
                  <c:v>34</c:v>
                </c:pt>
                <c:pt idx="61">
                  <c:v>36</c:v>
                </c:pt>
                <c:pt idx="62">
                  <c:v>37</c:v>
                </c:pt>
                <c:pt idx="63">
                  <c:v>42</c:v>
                </c:pt>
                <c:pt idx="64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7C-46F1-936D-C6CD266C7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'12gCO2_A3'!$B$3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'12gCO2_A3'!$E$3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'18gCO2_A1'!$E$4:$E$1048576</c:f>
              <c:numCache>
                <c:formatCode>General</c:formatCode>
                <c:ptCount val="1048573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19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19</c:v>
                </c:pt>
                <c:pt idx="10">
                  <c:v>17</c:v>
                </c:pt>
                <c:pt idx="11">
                  <c:v>19</c:v>
                </c:pt>
                <c:pt idx="12">
                  <c:v>18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19</c:v>
                </c:pt>
                <c:pt idx="18">
                  <c:v>19</c:v>
                </c:pt>
                <c:pt idx="19">
                  <c:v>18</c:v>
                </c:pt>
                <c:pt idx="20">
                  <c:v>18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20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21</c:v>
                </c:pt>
                <c:pt idx="39">
                  <c:v>20</c:v>
                </c:pt>
                <c:pt idx="40">
                  <c:v>22</c:v>
                </c:pt>
                <c:pt idx="41">
                  <c:v>21</c:v>
                </c:pt>
                <c:pt idx="42">
                  <c:v>21</c:v>
                </c:pt>
                <c:pt idx="43">
                  <c:v>22</c:v>
                </c:pt>
                <c:pt idx="44">
                  <c:v>21</c:v>
                </c:pt>
                <c:pt idx="45">
                  <c:v>21</c:v>
                </c:pt>
                <c:pt idx="46">
                  <c:v>22</c:v>
                </c:pt>
                <c:pt idx="47">
                  <c:v>20</c:v>
                </c:pt>
                <c:pt idx="48">
                  <c:v>23</c:v>
                </c:pt>
                <c:pt idx="49">
                  <c:v>22</c:v>
                </c:pt>
                <c:pt idx="50">
                  <c:v>21</c:v>
                </c:pt>
                <c:pt idx="51">
                  <c:v>23</c:v>
                </c:pt>
                <c:pt idx="52">
                  <c:v>21</c:v>
                </c:pt>
                <c:pt idx="53">
                  <c:v>22</c:v>
                </c:pt>
                <c:pt idx="54">
                  <c:v>23</c:v>
                </c:pt>
                <c:pt idx="55">
                  <c:v>22</c:v>
                </c:pt>
                <c:pt idx="56">
                  <c:v>23</c:v>
                </c:pt>
                <c:pt idx="57">
                  <c:v>24</c:v>
                </c:pt>
                <c:pt idx="58">
                  <c:v>23</c:v>
                </c:pt>
                <c:pt idx="59">
                  <c:v>25</c:v>
                </c:pt>
                <c:pt idx="60">
                  <c:v>23</c:v>
                </c:pt>
                <c:pt idx="61">
                  <c:v>25</c:v>
                </c:pt>
                <c:pt idx="62">
                  <c:v>25</c:v>
                </c:pt>
                <c:pt idx="63">
                  <c:v>24</c:v>
                </c:pt>
                <c:pt idx="64">
                  <c:v>26</c:v>
                </c:pt>
                <c:pt idx="65">
                  <c:v>24</c:v>
                </c:pt>
                <c:pt idx="66">
                  <c:v>25</c:v>
                </c:pt>
                <c:pt idx="67">
                  <c:v>26</c:v>
                </c:pt>
                <c:pt idx="68">
                  <c:v>25</c:v>
                </c:pt>
                <c:pt idx="69">
                  <c:v>27</c:v>
                </c:pt>
                <c:pt idx="70">
                  <c:v>27</c:v>
                </c:pt>
                <c:pt idx="71">
                  <c:v>27</c:v>
                </c:pt>
                <c:pt idx="72">
                  <c:v>27</c:v>
                </c:pt>
                <c:pt idx="73">
                  <c:v>27</c:v>
                </c:pt>
                <c:pt idx="74">
                  <c:v>29</c:v>
                </c:pt>
                <c:pt idx="75">
                  <c:v>29</c:v>
                </c:pt>
                <c:pt idx="76">
                  <c:v>29</c:v>
                </c:pt>
                <c:pt idx="77">
                  <c:v>31</c:v>
                </c:pt>
                <c:pt idx="78">
                  <c:v>30</c:v>
                </c:pt>
                <c:pt idx="79">
                  <c:v>32</c:v>
                </c:pt>
                <c:pt idx="80">
                  <c:v>31</c:v>
                </c:pt>
                <c:pt idx="81">
                  <c:v>32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36</c:v>
                </c:pt>
                <c:pt idx="86">
                  <c:v>38</c:v>
                </c:pt>
                <c:pt idx="87">
                  <c:v>39</c:v>
                </c:pt>
                <c:pt idx="88">
                  <c:v>41</c:v>
                </c:pt>
                <c:pt idx="89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A4-4A47-A2D3-E5163AB72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'18gCO2_A1'!$B$3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'18gCO2_A1'!$E$3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'18gCO2_A2'!$E$4:$E$1048576</c:f>
              <c:numCache>
                <c:formatCode>General</c:formatCode>
                <c:ptCount val="1048573"/>
                <c:pt idx="0">
                  <c:v>16</c:v>
                </c:pt>
                <c:pt idx="1">
                  <c:v>18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19</c:v>
                </c:pt>
                <c:pt idx="8">
                  <c:v>19</c:v>
                </c:pt>
                <c:pt idx="9">
                  <c:v>17</c:v>
                </c:pt>
                <c:pt idx="10">
                  <c:v>19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18</c:v>
                </c:pt>
                <c:pt idx="17">
                  <c:v>20</c:v>
                </c:pt>
                <c:pt idx="18">
                  <c:v>19</c:v>
                </c:pt>
                <c:pt idx="19">
                  <c:v>18</c:v>
                </c:pt>
                <c:pt idx="20">
                  <c:v>19</c:v>
                </c:pt>
                <c:pt idx="21">
                  <c:v>18</c:v>
                </c:pt>
                <c:pt idx="22">
                  <c:v>19</c:v>
                </c:pt>
                <c:pt idx="23">
                  <c:v>20</c:v>
                </c:pt>
                <c:pt idx="24">
                  <c:v>19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21</c:v>
                </c:pt>
                <c:pt idx="33">
                  <c:v>19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19</c:v>
                </c:pt>
                <c:pt idx="39">
                  <c:v>20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22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22</c:v>
                </c:pt>
                <c:pt idx="51">
                  <c:v>21</c:v>
                </c:pt>
                <c:pt idx="52">
                  <c:v>22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23</c:v>
                </c:pt>
                <c:pt idx="60">
                  <c:v>24</c:v>
                </c:pt>
                <c:pt idx="61">
                  <c:v>24</c:v>
                </c:pt>
                <c:pt idx="62">
                  <c:v>23</c:v>
                </c:pt>
                <c:pt idx="63">
                  <c:v>25</c:v>
                </c:pt>
                <c:pt idx="64">
                  <c:v>24</c:v>
                </c:pt>
                <c:pt idx="65">
                  <c:v>24</c:v>
                </c:pt>
                <c:pt idx="66">
                  <c:v>25</c:v>
                </c:pt>
                <c:pt idx="67">
                  <c:v>25</c:v>
                </c:pt>
                <c:pt idx="68">
                  <c:v>27</c:v>
                </c:pt>
                <c:pt idx="69">
                  <c:v>26</c:v>
                </c:pt>
                <c:pt idx="70">
                  <c:v>25</c:v>
                </c:pt>
                <c:pt idx="71">
                  <c:v>27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28</c:v>
                </c:pt>
                <c:pt idx="76">
                  <c:v>29</c:v>
                </c:pt>
                <c:pt idx="77">
                  <c:v>30</c:v>
                </c:pt>
                <c:pt idx="78">
                  <c:v>30</c:v>
                </c:pt>
                <c:pt idx="79">
                  <c:v>31</c:v>
                </c:pt>
                <c:pt idx="80">
                  <c:v>30</c:v>
                </c:pt>
                <c:pt idx="81">
                  <c:v>33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35</c:v>
                </c:pt>
                <c:pt idx="86">
                  <c:v>39</c:v>
                </c:pt>
                <c:pt idx="87">
                  <c:v>43</c:v>
                </c:pt>
                <c:pt idx="88">
                  <c:v>42</c:v>
                </c:pt>
                <c:pt idx="89">
                  <c:v>43</c:v>
                </c:pt>
                <c:pt idx="90">
                  <c:v>43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1-4893-A2D4-D72B392A3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'18gCO2_A2'!$B$3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'18gCO2_A2'!$E$3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'18gCO2_A3'!$E$4:$E$1048576</c:f>
              <c:numCache>
                <c:formatCode>General</c:formatCode>
                <c:ptCount val="1048573"/>
                <c:pt idx="0">
                  <c:v>18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18</c:v>
                </c:pt>
                <c:pt idx="12">
                  <c:v>20</c:v>
                </c:pt>
                <c:pt idx="13">
                  <c:v>0</c:v>
                </c:pt>
                <c:pt idx="14">
                  <c:v>18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20</c:v>
                </c:pt>
                <c:pt idx="19">
                  <c:v>19</c:v>
                </c:pt>
                <c:pt idx="20">
                  <c:v>20</c:v>
                </c:pt>
                <c:pt idx="21">
                  <c:v>19</c:v>
                </c:pt>
                <c:pt idx="22">
                  <c:v>19</c:v>
                </c:pt>
                <c:pt idx="23">
                  <c:v>20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20</c:v>
                </c:pt>
                <c:pt idx="28">
                  <c:v>0</c:v>
                </c:pt>
                <c:pt idx="29">
                  <c:v>19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21</c:v>
                </c:pt>
                <c:pt idx="34">
                  <c:v>20</c:v>
                </c:pt>
                <c:pt idx="35">
                  <c:v>21</c:v>
                </c:pt>
                <c:pt idx="36">
                  <c:v>21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21</c:v>
                </c:pt>
                <c:pt idx="41">
                  <c:v>22</c:v>
                </c:pt>
                <c:pt idx="42">
                  <c:v>21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23</c:v>
                </c:pt>
                <c:pt idx="47">
                  <c:v>21</c:v>
                </c:pt>
                <c:pt idx="48">
                  <c:v>22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22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24</c:v>
                </c:pt>
                <c:pt idx="57">
                  <c:v>24</c:v>
                </c:pt>
                <c:pt idx="58">
                  <c:v>23</c:v>
                </c:pt>
                <c:pt idx="59">
                  <c:v>25</c:v>
                </c:pt>
                <c:pt idx="60">
                  <c:v>24</c:v>
                </c:pt>
                <c:pt idx="61">
                  <c:v>23</c:v>
                </c:pt>
                <c:pt idx="62">
                  <c:v>26</c:v>
                </c:pt>
                <c:pt idx="63">
                  <c:v>24</c:v>
                </c:pt>
                <c:pt idx="64">
                  <c:v>24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27</c:v>
                </c:pt>
                <c:pt idx="69">
                  <c:v>27</c:v>
                </c:pt>
                <c:pt idx="70">
                  <c:v>27</c:v>
                </c:pt>
                <c:pt idx="71">
                  <c:v>28</c:v>
                </c:pt>
                <c:pt idx="72">
                  <c:v>28</c:v>
                </c:pt>
                <c:pt idx="73">
                  <c:v>29</c:v>
                </c:pt>
                <c:pt idx="74">
                  <c:v>30</c:v>
                </c:pt>
                <c:pt idx="75">
                  <c:v>30</c:v>
                </c:pt>
                <c:pt idx="76">
                  <c:v>29</c:v>
                </c:pt>
                <c:pt idx="77">
                  <c:v>31</c:v>
                </c:pt>
                <c:pt idx="78">
                  <c:v>33</c:v>
                </c:pt>
                <c:pt idx="79">
                  <c:v>33</c:v>
                </c:pt>
                <c:pt idx="80">
                  <c:v>34</c:v>
                </c:pt>
                <c:pt idx="81">
                  <c:v>34</c:v>
                </c:pt>
                <c:pt idx="82">
                  <c:v>35</c:v>
                </c:pt>
                <c:pt idx="83">
                  <c:v>35</c:v>
                </c:pt>
                <c:pt idx="84">
                  <c:v>38</c:v>
                </c:pt>
                <c:pt idx="85">
                  <c:v>38</c:v>
                </c:pt>
                <c:pt idx="86">
                  <c:v>39</c:v>
                </c:pt>
                <c:pt idx="87">
                  <c:v>41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F-46E1-AF34-648514BBC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'18gCO2_A3'!$B$3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'18gCO2_A3'!$E$3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Blowback</a:t>
            </a:r>
            <a:r>
              <a:rPr lang="en-US" sz="2800" baseline="0"/>
              <a:t> Time (ms) - 12g CO2 vs 18g CO2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effectLst/>
              </a:rPr>
              <a:t>CO2</a:t>
            </a:r>
            <a:r>
              <a:rPr lang="en-US" sz="1600" baseline="0">
                <a:effectLst/>
              </a:rPr>
              <a:t> | 12-18g | ~78f | ~300ms Interval | Mag 2 | High Flow - Open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2.4064835211176507E-2"/>
          <c:y val="2.224158480983861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0987531738255639E-2"/>
          <c:y val="0.23443404120207709"/>
          <c:w val="0.87196269921710623"/>
          <c:h val="0.66555769366895201"/>
        </c:manualLayout>
      </c:layout>
      <c:scatterChart>
        <c:scatterStyle val="lineMarker"/>
        <c:varyColors val="0"/>
        <c:ser>
          <c:idx val="0"/>
          <c:order val="0"/>
          <c:tx>
            <c:v>12g CO2 #1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75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000-8E90-4365-8460-65BC4B716D1F}"/>
              </c:ext>
            </c:extLst>
          </c:dPt>
          <c:dLbls>
            <c:dLbl>
              <c:idx val="65"/>
              <c:layout>
                <c:manualLayout>
                  <c:x val="9.7054955266836166E-3"/>
                  <c:y val="-2.078557186713764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E71-433B-95B7-26FBB97F442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'12gCO2_A1'!$E$4:$E$69</c:f>
              <c:numCache>
                <c:formatCode>General</c:formatCode>
                <c:ptCount val="66"/>
                <c:pt idx="0">
                  <c:v>17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17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19</c:v>
                </c:pt>
                <c:pt idx="17">
                  <c:v>18</c:v>
                </c:pt>
                <c:pt idx="18">
                  <c:v>20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19</c:v>
                </c:pt>
                <c:pt idx="23">
                  <c:v>20</c:v>
                </c:pt>
                <c:pt idx="24">
                  <c:v>20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19</c:v>
                </c:pt>
                <c:pt idx="31">
                  <c:v>21</c:v>
                </c:pt>
                <c:pt idx="32">
                  <c:v>20</c:v>
                </c:pt>
                <c:pt idx="33">
                  <c:v>20</c:v>
                </c:pt>
                <c:pt idx="34">
                  <c:v>21</c:v>
                </c:pt>
                <c:pt idx="35">
                  <c:v>21</c:v>
                </c:pt>
                <c:pt idx="36">
                  <c:v>22</c:v>
                </c:pt>
                <c:pt idx="37">
                  <c:v>22</c:v>
                </c:pt>
                <c:pt idx="38">
                  <c:v>20</c:v>
                </c:pt>
                <c:pt idx="39">
                  <c:v>22</c:v>
                </c:pt>
                <c:pt idx="40">
                  <c:v>21</c:v>
                </c:pt>
                <c:pt idx="41">
                  <c:v>21</c:v>
                </c:pt>
                <c:pt idx="42">
                  <c:v>23</c:v>
                </c:pt>
                <c:pt idx="43">
                  <c:v>22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27</c:v>
                </c:pt>
                <c:pt idx="53">
                  <c:v>27</c:v>
                </c:pt>
                <c:pt idx="54">
                  <c:v>26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31</c:v>
                </c:pt>
                <c:pt idx="59">
                  <c:v>30</c:v>
                </c:pt>
                <c:pt idx="60">
                  <c:v>32</c:v>
                </c:pt>
                <c:pt idx="61">
                  <c:v>32</c:v>
                </c:pt>
                <c:pt idx="62">
                  <c:v>33</c:v>
                </c:pt>
                <c:pt idx="63">
                  <c:v>36</c:v>
                </c:pt>
                <c:pt idx="64">
                  <c:v>42</c:v>
                </c:pt>
                <c:pt idx="65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E71-433B-95B7-26FBB97F4423}"/>
            </c:ext>
          </c:extLst>
        </c:ser>
        <c:ser>
          <c:idx val="1"/>
          <c:order val="1"/>
          <c:tx>
            <c:v>12g CO2 #2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60000"/>
                  <a:lumOff val="4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67"/>
              <c:layout>
                <c:manualLayout>
                  <c:x val="1.2352448852142785E-2"/>
                  <c:y val="-2.2084670108833696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E71-433B-95B7-26FBB97F442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'12gCO2_A2'!$E$4:$E$71</c:f>
              <c:numCache>
                <c:formatCode>General</c:formatCode>
                <c:ptCount val="68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18</c:v>
                </c:pt>
                <c:pt idx="7">
                  <c:v>19</c:v>
                </c:pt>
                <c:pt idx="8">
                  <c:v>17</c:v>
                </c:pt>
                <c:pt idx="9">
                  <c:v>19</c:v>
                </c:pt>
                <c:pt idx="10">
                  <c:v>19</c:v>
                </c:pt>
                <c:pt idx="11">
                  <c:v>18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18</c:v>
                </c:pt>
                <c:pt idx="18">
                  <c:v>20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19</c:v>
                </c:pt>
                <c:pt idx="23">
                  <c:v>20</c:v>
                </c:pt>
                <c:pt idx="24">
                  <c:v>20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22</c:v>
                </c:pt>
                <c:pt idx="29">
                  <c:v>20</c:v>
                </c:pt>
                <c:pt idx="30">
                  <c:v>20</c:v>
                </c:pt>
                <c:pt idx="31">
                  <c:v>22</c:v>
                </c:pt>
                <c:pt idx="32">
                  <c:v>21</c:v>
                </c:pt>
                <c:pt idx="33">
                  <c:v>23</c:v>
                </c:pt>
                <c:pt idx="34">
                  <c:v>22</c:v>
                </c:pt>
                <c:pt idx="35">
                  <c:v>22</c:v>
                </c:pt>
                <c:pt idx="36">
                  <c:v>23</c:v>
                </c:pt>
                <c:pt idx="37">
                  <c:v>21</c:v>
                </c:pt>
                <c:pt idx="38">
                  <c:v>22</c:v>
                </c:pt>
                <c:pt idx="39">
                  <c:v>23</c:v>
                </c:pt>
                <c:pt idx="40">
                  <c:v>22</c:v>
                </c:pt>
                <c:pt idx="41">
                  <c:v>24</c:v>
                </c:pt>
                <c:pt idx="42">
                  <c:v>25</c:v>
                </c:pt>
                <c:pt idx="43">
                  <c:v>23</c:v>
                </c:pt>
                <c:pt idx="44">
                  <c:v>25</c:v>
                </c:pt>
                <c:pt idx="45">
                  <c:v>23</c:v>
                </c:pt>
                <c:pt idx="46">
                  <c:v>25</c:v>
                </c:pt>
                <c:pt idx="47">
                  <c:v>26</c:v>
                </c:pt>
                <c:pt idx="48">
                  <c:v>25</c:v>
                </c:pt>
                <c:pt idx="49">
                  <c:v>26</c:v>
                </c:pt>
                <c:pt idx="50">
                  <c:v>25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31</c:v>
                </c:pt>
                <c:pt idx="60">
                  <c:v>32</c:v>
                </c:pt>
                <c:pt idx="61">
                  <c:v>31</c:v>
                </c:pt>
                <c:pt idx="62">
                  <c:v>32</c:v>
                </c:pt>
                <c:pt idx="63">
                  <c:v>33</c:v>
                </c:pt>
                <c:pt idx="64">
                  <c:v>36</c:v>
                </c:pt>
                <c:pt idx="65">
                  <c:v>39</c:v>
                </c:pt>
                <c:pt idx="66">
                  <c:v>42</c:v>
                </c:pt>
                <c:pt idx="67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E71-433B-95B7-26FBB97F4423}"/>
            </c:ext>
          </c:extLst>
        </c:ser>
        <c:ser>
          <c:idx val="2"/>
          <c:order val="2"/>
          <c:tx>
            <c:v>12g CO2 #3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40000"/>
                  <a:lumOff val="6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64"/>
              <c:layout>
                <c:manualLayout>
                  <c:x val="-2.7351851029744738E-2"/>
                  <c:y val="-3.5075652525794775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E71-433B-95B7-26FBB97F442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'12gCO2_A3'!$E$4:$E$68</c:f>
              <c:numCache>
                <c:formatCode>General</c:formatCode>
                <c:ptCount val="65"/>
                <c:pt idx="0">
                  <c:v>17</c:v>
                </c:pt>
                <c:pt idx="1">
                  <c:v>19</c:v>
                </c:pt>
                <c:pt idx="2">
                  <c:v>17</c:v>
                </c:pt>
                <c:pt idx="3">
                  <c:v>18</c:v>
                </c:pt>
                <c:pt idx="4">
                  <c:v>17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19</c:v>
                </c:pt>
                <c:pt idx="13">
                  <c:v>20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20</c:v>
                </c:pt>
                <c:pt idx="19">
                  <c:v>19</c:v>
                </c:pt>
                <c:pt idx="20">
                  <c:v>21</c:v>
                </c:pt>
                <c:pt idx="21">
                  <c:v>20</c:v>
                </c:pt>
                <c:pt idx="22">
                  <c:v>21</c:v>
                </c:pt>
                <c:pt idx="23">
                  <c:v>19</c:v>
                </c:pt>
                <c:pt idx="24">
                  <c:v>20</c:v>
                </c:pt>
                <c:pt idx="25">
                  <c:v>21</c:v>
                </c:pt>
                <c:pt idx="26">
                  <c:v>20</c:v>
                </c:pt>
                <c:pt idx="27">
                  <c:v>22</c:v>
                </c:pt>
                <c:pt idx="28">
                  <c:v>21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21</c:v>
                </c:pt>
                <c:pt idx="34">
                  <c:v>22</c:v>
                </c:pt>
                <c:pt idx="35">
                  <c:v>22</c:v>
                </c:pt>
                <c:pt idx="36">
                  <c:v>23</c:v>
                </c:pt>
                <c:pt idx="37">
                  <c:v>23</c:v>
                </c:pt>
                <c:pt idx="38">
                  <c:v>22</c:v>
                </c:pt>
                <c:pt idx="39">
                  <c:v>23</c:v>
                </c:pt>
                <c:pt idx="40">
                  <c:v>24</c:v>
                </c:pt>
                <c:pt idx="41">
                  <c:v>24</c:v>
                </c:pt>
                <c:pt idx="42">
                  <c:v>25</c:v>
                </c:pt>
                <c:pt idx="43">
                  <c:v>24</c:v>
                </c:pt>
                <c:pt idx="44">
                  <c:v>25</c:v>
                </c:pt>
                <c:pt idx="45">
                  <c:v>26</c:v>
                </c:pt>
                <c:pt idx="46">
                  <c:v>25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27</c:v>
                </c:pt>
                <c:pt idx="51">
                  <c:v>27</c:v>
                </c:pt>
                <c:pt idx="52">
                  <c:v>28</c:v>
                </c:pt>
                <c:pt idx="53">
                  <c:v>29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32</c:v>
                </c:pt>
                <c:pt idx="59">
                  <c:v>32</c:v>
                </c:pt>
                <c:pt idx="60">
                  <c:v>34</c:v>
                </c:pt>
                <c:pt idx="61">
                  <c:v>36</c:v>
                </c:pt>
                <c:pt idx="62">
                  <c:v>37</c:v>
                </c:pt>
                <c:pt idx="63">
                  <c:v>42</c:v>
                </c:pt>
                <c:pt idx="64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E71-433B-95B7-26FBB97F4423}"/>
            </c:ext>
          </c:extLst>
        </c:ser>
        <c:ser>
          <c:idx val="3"/>
          <c:order val="3"/>
          <c:tx>
            <c:v>18g CO2 #1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4472C4">
                  <a:lumMod val="75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88"/>
              <c:layout>
                <c:manualLayout>
                  <c:x val="1.1470131076989729E-2"/>
                  <c:y val="2.9879259559010361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90-4365-8460-65BC4B716D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'18gCO2_A1'!$E$4:$E$93</c:f>
              <c:numCache>
                <c:formatCode>General</c:formatCode>
                <c:ptCount val="90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19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19</c:v>
                </c:pt>
                <c:pt idx="10">
                  <c:v>17</c:v>
                </c:pt>
                <c:pt idx="11">
                  <c:v>19</c:v>
                </c:pt>
                <c:pt idx="12">
                  <c:v>18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19</c:v>
                </c:pt>
                <c:pt idx="18">
                  <c:v>19</c:v>
                </c:pt>
                <c:pt idx="19">
                  <c:v>18</c:v>
                </c:pt>
                <c:pt idx="20">
                  <c:v>18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20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21</c:v>
                </c:pt>
                <c:pt idx="39">
                  <c:v>20</c:v>
                </c:pt>
                <c:pt idx="40">
                  <c:v>22</c:v>
                </c:pt>
                <c:pt idx="41">
                  <c:v>21</c:v>
                </c:pt>
                <c:pt idx="42">
                  <c:v>21</c:v>
                </c:pt>
                <c:pt idx="43">
                  <c:v>22</c:v>
                </c:pt>
                <c:pt idx="44">
                  <c:v>21</c:v>
                </c:pt>
                <c:pt idx="45">
                  <c:v>21</c:v>
                </c:pt>
                <c:pt idx="46">
                  <c:v>22</c:v>
                </c:pt>
                <c:pt idx="47">
                  <c:v>20</c:v>
                </c:pt>
                <c:pt idx="48">
                  <c:v>23</c:v>
                </c:pt>
                <c:pt idx="49">
                  <c:v>22</c:v>
                </c:pt>
                <c:pt idx="50">
                  <c:v>21</c:v>
                </c:pt>
                <c:pt idx="51">
                  <c:v>23</c:v>
                </c:pt>
                <c:pt idx="52">
                  <c:v>21</c:v>
                </c:pt>
                <c:pt idx="53">
                  <c:v>22</c:v>
                </c:pt>
                <c:pt idx="54">
                  <c:v>23</c:v>
                </c:pt>
                <c:pt idx="55">
                  <c:v>22</c:v>
                </c:pt>
                <c:pt idx="56">
                  <c:v>23</c:v>
                </c:pt>
                <c:pt idx="57">
                  <c:v>24</c:v>
                </c:pt>
                <c:pt idx="58">
                  <c:v>23</c:v>
                </c:pt>
                <c:pt idx="59">
                  <c:v>25</c:v>
                </c:pt>
                <c:pt idx="60">
                  <c:v>23</c:v>
                </c:pt>
                <c:pt idx="61">
                  <c:v>25</c:v>
                </c:pt>
                <c:pt idx="62">
                  <c:v>25</c:v>
                </c:pt>
                <c:pt idx="63">
                  <c:v>24</c:v>
                </c:pt>
                <c:pt idx="64">
                  <c:v>26</c:v>
                </c:pt>
                <c:pt idx="65">
                  <c:v>24</c:v>
                </c:pt>
                <c:pt idx="66">
                  <c:v>25</c:v>
                </c:pt>
                <c:pt idx="67">
                  <c:v>26</c:v>
                </c:pt>
                <c:pt idx="68">
                  <c:v>25</c:v>
                </c:pt>
                <c:pt idx="69">
                  <c:v>27</c:v>
                </c:pt>
                <c:pt idx="70">
                  <c:v>27</c:v>
                </c:pt>
                <c:pt idx="71">
                  <c:v>27</c:v>
                </c:pt>
                <c:pt idx="72">
                  <c:v>27</c:v>
                </c:pt>
                <c:pt idx="73">
                  <c:v>27</c:v>
                </c:pt>
                <c:pt idx="74">
                  <c:v>29</c:v>
                </c:pt>
                <c:pt idx="75">
                  <c:v>29</c:v>
                </c:pt>
                <c:pt idx="76">
                  <c:v>29</c:v>
                </c:pt>
                <c:pt idx="77">
                  <c:v>31</c:v>
                </c:pt>
                <c:pt idx="78">
                  <c:v>30</c:v>
                </c:pt>
                <c:pt idx="79">
                  <c:v>32</c:v>
                </c:pt>
                <c:pt idx="80">
                  <c:v>31</c:v>
                </c:pt>
                <c:pt idx="81">
                  <c:v>32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36</c:v>
                </c:pt>
                <c:pt idx="86">
                  <c:v>38</c:v>
                </c:pt>
                <c:pt idx="87">
                  <c:v>39</c:v>
                </c:pt>
                <c:pt idx="88">
                  <c:v>41</c:v>
                </c:pt>
                <c:pt idx="89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E71-433B-95B7-26FBB97F4423}"/>
            </c:ext>
          </c:extLst>
        </c:ser>
        <c:ser>
          <c:idx val="4"/>
          <c:order val="4"/>
          <c:tx>
            <c:v>18g CO2 #2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4472C4">
                  <a:lumMod val="60000"/>
                  <a:lumOff val="4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90"/>
              <c:layout>
                <c:manualLayout>
                  <c:x val="7.9408599763773745E-3"/>
                  <c:y val="-1.818737538374543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90-4365-8460-65BC4B716D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'18gCO2_A2'!$E$4:$E$94</c:f>
              <c:numCache>
                <c:formatCode>General</c:formatCode>
                <c:ptCount val="91"/>
                <c:pt idx="0">
                  <c:v>16</c:v>
                </c:pt>
                <c:pt idx="1">
                  <c:v>18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19</c:v>
                </c:pt>
                <c:pt idx="8">
                  <c:v>19</c:v>
                </c:pt>
                <c:pt idx="9">
                  <c:v>17</c:v>
                </c:pt>
                <c:pt idx="10">
                  <c:v>19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18</c:v>
                </c:pt>
                <c:pt idx="17">
                  <c:v>20</c:v>
                </c:pt>
                <c:pt idx="18">
                  <c:v>19</c:v>
                </c:pt>
                <c:pt idx="19">
                  <c:v>18</c:v>
                </c:pt>
                <c:pt idx="20">
                  <c:v>19</c:v>
                </c:pt>
                <c:pt idx="21">
                  <c:v>18</c:v>
                </c:pt>
                <c:pt idx="22">
                  <c:v>19</c:v>
                </c:pt>
                <c:pt idx="23">
                  <c:v>20</c:v>
                </c:pt>
                <c:pt idx="24">
                  <c:v>19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21</c:v>
                </c:pt>
                <c:pt idx="33">
                  <c:v>19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19</c:v>
                </c:pt>
                <c:pt idx="39">
                  <c:v>20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22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22</c:v>
                </c:pt>
                <c:pt idx="51">
                  <c:v>21</c:v>
                </c:pt>
                <c:pt idx="52">
                  <c:v>22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23</c:v>
                </c:pt>
                <c:pt idx="60">
                  <c:v>24</c:v>
                </c:pt>
                <c:pt idx="61">
                  <c:v>24</c:v>
                </c:pt>
                <c:pt idx="62">
                  <c:v>23</c:v>
                </c:pt>
                <c:pt idx="63">
                  <c:v>25</c:v>
                </c:pt>
                <c:pt idx="64">
                  <c:v>24</c:v>
                </c:pt>
                <c:pt idx="65">
                  <c:v>24</c:v>
                </c:pt>
                <c:pt idx="66">
                  <c:v>25</c:v>
                </c:pt>
                <c:pt idx="67">
                  <c:v>25</c:v>
                </c:pt>
                <c:pt idx="68">
                  <c:v>27</c:v>
                </c:pt>
                <c:pt idx="69">
                  <c:v>26</c:v>
                </c:pt>
                <c:pt idx="70">
                  <c:v>25</c:v>
                </c:pt>
                <c:pt idx="71">
                  <c:v>27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28</c:v>
                </c:pt>
                <c:pt idx="76">
                  <c:v>29</c:v>
                </c:pt>
                <c:pt idx="77">
                  <c:v>30</c:v>
                </c:pt>
                <c:pt idx="78">
                  <c:v>30</c:v>
                </c:pt>
                <c:pt idx="79">
                  <c:v>31</c:v>
                </c:pt>
                <c:pt idx="80">
                  <c:v>30</c:v>
                </c:pt>
                <c:pt idx="81">
                  <c:v>33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35</c:v>
                </c:pt>
                <c:pt idx="86">
                  <c:v>39</c:v>
                </c:pt>
                <c:pt idx="87">
                  <c:v>43</c:v>
                </c:pt>
                <c:pt idx="88">
                  <c:v>42</c:v>
                </c:pt>
                <c:pt idx="89">
                  <c:v>43</c:v>
                </c:pt>
                <c:pt idx="90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90-4365-8460-65BC4B716D1F}"/>
            </c:ext>
          </c:extLst>
        </c:ser>
        <c:ser>
          <c:idx val="5"/>
          <c:order val="5"/>
          <c:tx>
            <c:v>18g CO2 #3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4472C4">
                  <a:lumMod val="40000"/>
                  <a:lumOff val="6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87"/>
              <c:layout>
                <c:manualLayout>
                  <c:x val="-3.3528075455816132E-2"/>
                  <c:y val="-5.1963929667844105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90-4365-8460-65BC4B716D1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'18gCO2_A3'!$E$4:$E$91</c:f>
              <c:numCache>
                <c:formatCode>General</c:formatCode>
                <c:ptCount val="88"/>
                <c:pt idx="0">
                  <c:v>18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18</c:v>
                </c:pt>
                <c:pt idx="12">
                  <c:v>20</c:v>
                </c:pt>
                <c:pt idx="13">
                  <c:v>0</c:v>
                </c:pt>
                <c:pt idx="14">
                  <c:v>18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20</c:v>
                </c:pt>
                <c:pt idx="19">
                  <c:v>19</c:v>
                </c:pt>
                <c:pt idx="20">
                  <c:v>20</c:v>
                </c:pt>
                <c:pt idx="21">
                  <c:v>19</c:v>
                </c:pt>
                <c:pt idx="22">
                  <c:v>19</c:v>
                </c:pt>
                <c:pt idx="23">
                  <c:v>20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20</c:v>
                </c:pt>
                <c:pt idx="28">
                  <c:v>0</c:v>
                </c:pt>
                <c:pt idx="29">
                  <c:v>19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21</c:v>
                </c:pt>
                <c:pt idx="34">
                  <c:v>20</c:v>
                </c:pt>
                <c:pt idx="35">
                  <c:v>21</c:v>
                </c:pt>
                <c:pt idx="36">
                  <c:v>21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21</c:v>
                </c:pt>
                <c:pt idx="41">
                  <c:v>22</c:v>
                </c:pt>
                <c:pt idx="42">
                  <c:v>21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23</c:v>
                </c:pt>
                <c:pt idx="47">
                  <c:v>21</c:v>
                </c:pt>
                <c:pt idx="48">
                  <c:v>22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22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24</c:v>
                </c:pt>
                <c:pt idx="57">
                  <c:v>24</c:v>
                </c:pt>
                <c:pt idx="58">
                  <c:v>23</c:v>
                </c:pt>
                <c:pt idx="59">
                  <c:v>25</c:v>
                </c:pt>
                <c:pt idx="60">
                  <c:v>24</c:v>
                </c:pt>
                <c:pt idx="61">
                  <c:v>23</c:v>
                </c:pt>
                <c:pt idx="62">
                  <c:v>26</c:v>
                </c:pt>
                <c:pt idx="63">
                  <c:v>24</c:v>
                </c:pt>
                <c:pt idx="64">
                  <c:v>24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27</c:v>
                </c:pt>
                <c:pt idx="69">
                  <c:v>27</c:v>
                </c:pt>
                <c:pt idx="70">
                  <c:v>27</c:v>
                </c:pt>
                <c:pt idx="71">
                  <c:v>28</c:v>
                </c:pt>
                <c:pt idx="72">
                  <c:v>28</c:v>
                </c:pt>
                <c:pt idx="73">
                  <c:v>29</c:v>
                </c:pt>
                <c:pt idx="74">
                  <c:v>30</c:v>
                </c:pt>
                <c:pt idx="75">
                  <c:v>30</c:v>
                </c:pt>
                <c:pt idx="76">
                  <c:v>29</c:v>
                </c:pt>
                <c:pt idx="77">
                  <c:v>31</c:v>
                </c:pt>
                <c:pt idx="78">
                  <c:v>33</c:v>
                </c:pt>
                <c:pt idx="79">
                  <c:v>33</c:v>
                </c:pt>
                <c:pt idx="80">
                  <c:v>34</c:v>
                </c:pt>
                <c:pt idx="81">
                  <c:v>34</c:v>
                </c:pt>
                <c:pt idx="82">
                  <c:v>35</c:v>
                </c:pt>
                <c:pt idx="83">
                  <c:v>35</c:v>
                </c:pt>
                <c:pt idx="84">
                  <c:v>38</c:v>
                </c:pt>
                <c:pt idx="85">
                  <c:v>38</c:v>
                </c:pt>
                <c:pt idx="86">
                  <c:v>39</c:v>
                </c:pt>
                <c:pt idx="87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90-4365-8460-65BC4B71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9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[1]CO2_12g_H_M2_3!$B$3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6529611452957137"/>
              <c:y val="0.9407038371065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[1]CO2_12g_H_M2_3!$E$3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legend>
      <c:legendPos val="t"/>
      <c:layout>
        <c:manualLayout>
          <c:xMode val="edge"/>
          <c:yMode val="edge"/>
          <c:x val="0.38501353385151094"/>
          <c:y val="0.16213820113968766"/>
          <c:w val="0.55528453810351841"/>
          <c:h val="2.9774001914072937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256</xdr:row>
      <xdr:rowOff>0</xdr:rowOff>
    </xdr:from>
    <xdr:to>
      <xdr:col>12</xdr:col>
      <xdr:colOff>0</xdr:colOff>
      <xdr:row>257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C6BE6CD-8D46-5EC5-3D9F-ACB7A0CA89CB}"/>
            </a:ext>
          </a:extLst>
        </xdr:cNvPr>
        <xdr:cNvSpPr/>
      </xdr:nvSpPr>
      <xdr:spPr>
        <a:xfrm>
          <a:off x="8124825" y="63731775"/>
          <a:ext cx="60960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86C070-3115-48D1-92A0-99FE4FC2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14228AB-7755-4FB8-99D7-A178937978F7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CA7D31-49B9-4C2B-B976-0BB3C00E6B98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E1C277-2113-400C-B402-5C2E29CBED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0546174-5B7E-47E6-A70C-23192F1F7CA5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A - Testing same magazine consistency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F0752E-0DA5-4896-910F-5E38BB6C52E7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r>
            <a:rPr lang="en-US" sz="1100"/>
            <a:t>refilled</a:t>
          </a:r>
          <a:r>
            <a:rPr lang="en-US" sz="1100" baseline="0"/>
            <a:t> co2</a:t>
          </a:r>
        </a:p>
        <a:p>
          <a:endParaRPr lang="en-US" sz="1100" baseline="0"/>
        </a:p>
        <a:p>
          <a:r>
            <a:rPr lang="en-US" sz="1100" baseline="0"/>
            <a:t>using bolt position to time interval, not trigger switch</a:t>
          </a:r>
          <a:endParaRPr lang="en-US" sz="1100"/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335BB4-1665-4916-901F-FEF037DBCA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7EBA7B9-FED8-4935-91A7-7D6AF08B4A81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- Testing same magazine consistency</a:t>
          </a:r>
          <a:endParaRPr lang="en-US">
            <a:effectLst/>
          </a:endParaRPr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C3C5850-E15F-4FE4-9C59-F6DCA00BF8A9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Notes:</a:t>
          </a:r>
        </a:p>
        <a:p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refilled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co2</a:t>
          </a:r>
        </a:p>
        <a:p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using bolt position to time interval, not trigger switch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15BBAF-25C0-43DB-B326-A2DBA6C40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4F72CEB-9F7E-4C71-ABC2-70C7456DED08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770784D-AC39-4C9D-B39E-0E1A3DFB476D}"/>
            </a:ext>
          </a:extLst>
        </xdr:cNvPr>
        <xdr:cNvSpPr txBox="1"/>
      </xdr:nvSpPr>
      <xdr:spPr>
        <a:xfrm>
          <a:off x="10591800" y="1162050"/>
          <a:ext cx="3552826" cy="462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1FF5CA-2F83-4B08-86C7-18914A3A7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367AC66-7894-4145-832E-D32130E6C5F4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951ACA5-A986-4B11-8E51-1CD4B96FE925}"/>
            </a:ext>
          </a:extLst>
        </xdr:cNvPr>
        <xdr:cNvSpPr txBox="1"/>
      </xdr:nvSpPr>
      <xdr:spPr>
        <a:xfrm>
          <a:off x="10591800" y="1162050"/>
          <a:ext cx="3552826" cy="462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BAF702-22FB-45FE-9D8C-E5B571D42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0007B12-2C5F-4859-8B5C-CB19195FD836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98A6625-D19C-422B-A512-A91ECF0983A9}"/>
            </a:ext>
          </a:extLst>
        </xdr:cNvPr>
        <xdr:cNvSpPr txBox="1"/>
      </xdr:nvSpPr>
      <xdr:spPr>
        <a:xfrm>
          <a:off x="10591800" y="1162050"/>
          <a:ext cx="3552826" cy="462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CE4891-9A5D-4F21-B797-9C38452A5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133797E-0077-4DCB-AAD0-5790F092415D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D26C64C-986E-461F-81D5-ED57CDD77EFF}"/>
            </a:ext>
          </a:extLst>
        </xdr:cNvPr>
        <xdr:cNvSpPr txBox="1"/>
      </xdr:nvSpPr>
      <xdr:spPr>
        <a:xfrm>
          <a:off x="10591800" y="1162050"/>
          <a:ext cx="3552826" cy="462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600075</xdr:colOff>
      <xdr:row>2</xdr:row>
      <xdr:rowOff>19050</xdr:rowOff>
    </xdr:from>
    <xdr:to>
      <xdr:col>31</xdr:col>
      <xdr:colOff>363582</xdr:colOff>
      <xdr:row>49</xdr:row>
      <xdr:rowOff>41462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55B6D5-FD4C-4370-9117-ED6D6C44B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0.57637</cdr:x>
      <cdr:y>0.03403</cdr:y>
    </cdr:from>
    <cdr:to>
      <cdr:x>0.90261</cdr:x>
      <cdr:y>0.14569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D8627C2-4860-0D07-65C8-CF480463534D}"/>
            </a:ext>
          </a:extLst>
        </cdr:cNvPr>
        <cdr:cNvSpPr txBox="1"/>
      </cdr:nvSpPr>
      <cdr:spPr>
        <a:xfrm xmlns:a="http://schemas.openxmlformats.org/drawingml/2006/main">
          <a:off x="8296275" y="304800"/>
          <a:ext cx="4695825" cy="1000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0.41359</cdr:x>
      <cdr:y>0.18449</cdr:y>
    </cdr:from>
    <cdr:to>
      <cdr:x>0.50491</cdr:x>
      <cdr:y>0.29229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6DBC9678-1424-53AC-D4AE-DAFD14F5599A}"/>
            </a:ext>
          </a:extLst>
        </cdr:cNvPr>
        <cdr:cNvSpPr txBox="1"/>
      </cdr:nvSpPr>
      <cdr:spPr>
        <a:xfrm xmlns:a="http://schemas.openxmlformats.org/drawingml/2006/main">
          <a:off x="5953120" y="1803611"/>
          <a:ext cx="1314451" cy="10538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l-GR" sz="1200"/>
            <a:t>Δ</a:t>
          </a:r>
          <a:r>
            <a:rPr lang="en-US" sz="1200"/>
            <a:t>T = 13.3f</a:t>
          </a:r>
        </a:p>
        <a:p xmlns:a="http://schemas.openxmlformats.org/drawingml/2006/main">
          <a:pPr algn="l"/>
          <a:r>
            <a:rPr lang="el-GR" sz="1200"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effectLst/>
              <a:latin typeface="+mn-lt"/>
              <a:ea typeface="+mn-ea"/>
              <a:cs typeface="+mn-cs"/>
            </a:rPr>
            <a:t> 10g</a:t>
          </a:r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0.77048</cdr:x>
      <cdr:y>0.18387</cdr:y>
    </cdr:from>
    <cdr:to>
      <cdr:x>0.836</cdr:x>
      <cdr:y>0.24449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2130C0A-9633-DFCF-941E-5FD3F799CB11}"/>
            </a:ext>
          </a:extLst>
        </cdr:cNvPr>
        <cdr:cNvSpPr txBox="1"/>
      </cdr:nvSpPr>
      <cdr:spPr>
        <a:xfrm xmlns:a="http://schemas.openxmlformats.org/drawingml/2006/main">
          <a:off x="11090205" y="1797486"/>
          <a:ext cx="943089" cy="592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effectLst/>
              <a:latin typeface="+mn-lt"/>
              <a:ea typeface="+mn-ea"/>
              <a:cs typeface="+mn-cs"/>
            </a:rPr>
            <a:t>T = 27.5f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effectLst/>
              <a:latin typeface="+mn-lt"/>
              <a:ea typeface="+mn-ea"/>
              <a:cs typeface="+mn-cs"/>
            </a:rPr>
            <a:t> 14g</a:t>
          </a:r>
          <a:endParaRPr lang="en-US" sz="1200">
            <a:effectLst/>
          </a:endParaRPr>
        </a:p>
        <a:p xmlns:a="http://schemas.openxmlformats.org/drawingml/2006/main">
          <a:pPr algn="ctr"/>
          <a:endParaRPr lang="en-US">
            <a:effectLst/>
          </a:endParaRPr>
        </a:p>
      </cdr:txBody>
    </cdr:sp>
  </cdr:relSizeAnchor>
  <cdr:relSizeAnchor xmlns:cdr="http://schemas.openxmlformats.org/drawingml/2006/chartDrawing">
    <cdr:from>
      <cdr:x>0.86114</cdr:x>
      <cdr:y>0.18467</cdr:y>
    </cdr:from>
    <cdr:to>
      <cdr:x>0.92665</cdr:x>
      <cdr:y>0.24528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0FBB1B1-71F7-A8AC-24F5-EEF1EF6575FF}"/>
            </a:ext>
          </a:extLst>
        </cdr:cNvPr>
        <cdr:cNvSpPr txBox="1"/>
      </cdr:nvSpPr>
      <cdr:spPr>
        <a:xfrm xmlns:a="http://schemas.openxmlformats.org/drawingml/2006/main">
          <a:off x="12395225" y="1805336"/>
          <a:ext cx="942945" cy="592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200"/>
            <a:t>Δ</a:t>
          </a:r>
          <a:r>
            <a:rPr lang="en-US" sz="1200"/>
            <a:t>T = 26.4f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effectLst/>
              <a:latin typeface="+mn-lt"/>
              <a:ea typeface="+mn-ea"/>
              <a:cs typeface="+mn-cs"/>
            </a:rPr>
            <a:t> 14g</a:t>
          </a:r>
          <a:endParaRPr lang="en-US" sz="1200">
            <a:effectLst/>
          </a:endParaRPr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0.50314</cdr:x>
      <cdr:y>0.18349</cdr:y>
    </cdr:from>
    <cdr:to>
      <cdr:x>0.59446</cdr:x>
      <cdr:y>0.2913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B04D0E6E-9D0B-2549-360E-587F727070CA}"/>
            </a:ext>
          </a:extLst>
        </cdr:cNvPr>
        <cdr:cNvSpPr txBox="1"/>
      </cdr:nvSpPr>
      <cdr:spPr>
        <a:xfrm xmlns:a="http://schemas.openxmlformats.org/drawingml/2006/main">
          <a:off x="7242213" y="1793835"/>
          <a:ext cx="1314452" cy="10539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/>
            <a:t>Δ</a:t>
          </a:r>
          <a:r>
            <a:rPr lang="en-US" sz="1200"/>
            <a:t>T = 19.9f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effectLst/>
              <a:latin typeface="+mn-lt"/>
              <a:ea typeface="+mn-ea"/>
              <a:cs typeface="+mn-cs"/>
            </a:rPr>
            <a:t> 9g</a:t>
          </a:r>
          <a:endParaRPr lang="en-US" sz="1200"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0.59182</cdr:x>
      <cdr:y>0.18447</cdr:y>
    </cdr:from>
    <cdr:to>
      <cdr:x>0.68314</cdr:x>
      <cdr:y>0.29228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B04D0E6E-9D0B-2549-360E-587F727070CA}"/>
            </a:ext>
          </a:extLst>
        </cdr:cNvPr>
        <cdr:cNvSpPr txBox="1"/>
      </cdr:nvSpPr>
      <cdr:spPr>
        <a:xfrm xmlns:a="http://schemas.openxmlformats.org/drawingml/2006/main">
          <a:off x="8518590" y="1803402"/>
          <a:ext cx="1314451" cy="10539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/>
            <a:t>Δ</a:t>
          </a:r>
          <a:r>
            <a:rPr lang="en-US" sz="1200"/>
            <a:t>T = 19.8f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effectLst/>
              <a:latin typeface="+mn-lt"/>
              <a:ea typeface="+mn-ea"/>
              <a:cs typeface="+mn-cs"/>
            </a:rPr>
            <a:t> 10g</a:t>
          </a:r>
          <a:endParaRPr lang="en-US" sz="1200"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000"/>
            <a:t> </a:t>
          </a:r>
        </a:p>
      </cdr:txBody>
    </cdr:sp>
  </cdr:relSizeAnchor>
  <cdr:relSizeAnchor xmlns:cdr="http://schemas.openxmlformats.org/drawingml/2006/chartDrawing">
    <cdr:from>
      <cdr:x>0.68115</cdr:x>
      <cdr:y>0.18447</cdr:y>
    </cdr:from>
    <cdr:to>
      <cdr:x>0.77247</cdr:x>
      <cdr:y>0.29228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B04D0E6E-9D0B-2549-360E-587F727070CA}"/>
            </a:ext>
          </a:extLst>
        </cdr:cNvPr>
        <cdr:cNvSpPr txBox="1"/>
      </cdr:nvSpPr>
      <cdr:spPr>
        <a:xfrm xmlns:a="http://schemas.openxmlformats.org/drawingml/2006/main">
          <a:off x="9804347" y="1803402"/>
          <a:ext cx="1314452" cy="10539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/>
            <a:t>Δ</a:t>
          </a:r>
          <a:r>
            <a:rPr lang="en-US" sz="1200"/>
            <a:t>T = 27.5f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effectLst/>
              <a:latin typeface="+mn-lt"/>
              <a:ea typeface="+mn-ea"/>
              <a:cs typeface="+mn-cs"/>
            </a:rPr>
            <a:t> 13g</a:t>
          </a:r>
          <a:endParaRPr lang="en-US" sz="1200"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kes/Documents/Krinkov%20Dyno/Krink%20Dy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In"/>
      <sheetName val="Data Out"/>
      <sheetName val="Settings"/>
      <sheetName val="CO2_12g_H_M2_1"/>
      <sheetName val="CO2_12g_H_M2_2"/>
      <sheetName val="CO2_12g_H_M2_3"/>
      <sheetName val="CO2_12g_H_M2_4"/>
      <sheetName val="CO2_12g_H_M2_5"/>
      <sheetName val="PROPANE_12g_H_M2_1"/>
      <sheetName val="PROPANE_12g_H_M2_2"/>
      <sheetName val="PROPANE_12g_H_M2_3"/>
      <sheetName val="Comparisons"/>
    </sheetNames>
    <sheetDataSet>
      <sheetData sheetId="0"/>
      <sheetData sheetId="1"/>
      <sheetData sheetId="2"/>
      <sheetData sheetId="3">
        <row r="4">
          <cell r="E4">
            <v>18</v>
          </cell>
        </row>
      </sheetData>
      <sheetData sheetId="4">
        <row r="4">
          <cell r="E4">
            <v>19</v>
          </cell>
        </row>
      </sheetData>
      <sheetData sheetId="5">
        <row r="3">
          <cell r="B3" t="str">
            <v>Shot Number</v>
          </cell>
          <cell r="E3" t="str">
            <v>Blowback (ms)</v>
          </cell>
        </row>
      </sheetData>
      <sheetData sheetId="6"/>
      <sheetData sheetId="7">
        <row r="3">
          <cell r="B3" t="str">
            <v>Shot Number</v>
          </cell>
        </row>
      </sheetData>
      <sheetData sheetId="8">
        <row r="4">
          <cell r="E4">
            <v>22</v>
          </cell>
        </row>
      </sheetData>
      <sheetData sheetId="9">
        <row r="4">
          <cell r="E4">
            <v>22</v>
          </cell>
        </row>
      </sheetData>
      <sheetData sheetId="10">
        <row r="3">
          <cell r="B3" t="str">
            <v>Shot Number</v>
          </cell>
        </row>
      </sheetData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2BC7B7-2CAD-4679-8975-3CAB4F8F936F}" name="TBL_CUR" displayName="TBL_CUR" ref="A4:K5" totalsRowShown="0" headerRowDxfId="25" dataDxfId="24">
  <autoFilter ref="A4:K5" xr:uid="{5A2BC7B7-2CAD-4679-8975-3CAB4F8F93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AD457288-3F0C-4D77-8C80-81C103B99C36}" name="TIME" dataDxfId="23"/>
    <tableColumn id="2" xr3:uid="{06B07973-ED3B-478C-A136-6B023E2EC56D}" name="CH1" dataDxfId="22"/>
    <tableColumn id="3" xr3:uid="{3CC81F10-96CE-4FBC-B3AC-F859FEB6985D}" name="CH2" dataDxfId="21"/>
    <tableColumn id="4" xr3:uid="{65BB8D72-6A94-498A-9CC1-7090BB8C2864}" name="CH3" dataDxfId="20"/>
    <tableColumn id="5" xr3:uid="{3CF28B03-E06B-44F8-A298-FA7741540C29}" name="CH4" dataDxfId="19"/>
    <tableColumn id="6" xr3:uid="{BB19F241-A2C7-4655-9B43-E17BDC325D55}" name="CH5" dataDxfId="18"/>
    <tableColumn id="7" xr3:uid="{C86BC0AE-B196-4A25-8E91-72F4B8103FD8}" name="CH6" dataDxfId="17"/>
    <tableColumn id="8" xr3:uid="{DDB39BBF-D256-4FE4-A048-C8812E410C1C}" name="CH7" dataDxfId="16"/>
    <tableColumn id="9" xr3:uid="{5BA2CA74-EA46-4CE6-A2C4-7B894733524C}" name="CH8" dataDxfId="15"/>
    <tableColumn id="10" xr3:uid="{257113FC-2606-41F1-B34B-AB15582D1662}" name="CH9" dataDxfId="14"/>
    <tableColumn id="11" xr3:uid="{36F1E656-A2D9-4FB2-9523-226480B06047}" name="CH10" dataDxfId="13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E294144-D65C-4C8A-A8C0-812458098C8F}" name="TBL_HST" displayName="TBL_HST" ref="A7:K257" totalsRowShown="0" headerRowDxfId="12" dataDxfId="11">
  <autoFilter ref="A7:K257" xr:uid="{EE294144-D65C-4C8A-A8C0-812458098C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B364C78A-1B47-4E86-BF18-5BEFB1D5E260}" name="TIME" dataDxfId="10"/>
    <tableColumn id="2" xr3:uid="{3CEC9DFC-B5F9-4B55-ABC5-93D08854242A}" name="CH1" dataDxfId="9"/>
    <tableColumn id="3" xr3:uid="{EB515FF3-8E72-4A84-887C-610AB6F83958}" name="CH2" dataDxfId="8"/>
    <tableColumn id="4" xr3:uid="{5AF648E3-713B-41B1-AC33-876CA69FA644}" name="CH3" dataDxfId="7"/>
    <tableColumn id="5" xr3:uid="{7463ECEE-4011-451B-9C66-43A2D292458D}" name="CH4" dataDxfId="6"/>
    <tableColumn id="6" xr3:uid="{0FD68A17-C681-461C-B639-5C4BE452615A}" name="CH5" dataDxfId="5"/>
    <tableColumn id="7" xr3:uid="{2E9FB0A4-C369-4717-AB24-EAA5088C9B86}" name="CH6" dataDxfId="4"/>
    <tableColumn id="8" xr3:uid="{894363B9-2770-4645-9DA5-98963609AEE4}" name="CH7" dataDxfId="3"/>
    <tableColumn id="9" xr3:uid="{72120158-81E5-4E42-BF10-CABE3CA1035E}" name="CH8" dataDxfId="2"/>
    <tableColumn id="10" xr3:uid="{561148DD-4877-41C9-9316-E97175940DC9}" name="CH9" dataDxfId="1"/>
    <tableColumn id="11" xr3:uid="{688B17D8-97E6-4CF0-81B2-AF524C125701}" name="CH10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3D0F0-6257-4A32-A3D7-1C8B35DC12B9}">
  <dimension ref="A1:K257"/>
  <sheetViews>
    <sheetView topLeftCell="A227" workbookViewId="0">
      <selection activeCell="A167" sqref="A167:E257"/>
    </sheetView>
  </sheetViews>
  <sheetFormatPr defaultRowHeight="15" x14ac:dyDescent="0.25"/>
  <cols>
    <col min="1" max="1" width="14.7109375" style="40" customWidth="1"/>
    <col min="2" max="11" width="10.7109375" style="40" customWidth="1"/>
    <col min="12" max="12" width="16.7109375" style="40" customWidth="1"/>
    <col min="13" max="16384" width="9.140625" style="40"/>
  </cols>
  <sheetData>
    <row r="1" spans="1:11" ht="30.75" x14ac:dyDescent="0.55000000000000004">
      <c r="A1" s="58" t="s">
        <v>50</v>
      </c>
      <c r="B1" s="58"/>
      <c r="C1" s="58"/>
      <c r="D1" s="58"/>
      <c r="E1" s="58"/>
      <c r="F1" s="58"/>
      <c r="G1" s="58"/>
      <c r="H1" s="58"/>
      <c r="I1" s="58"/>
      <c r="J1" s="58"/>
    </row>
    <row r="2" spans="1:11" ht="16.5" x14ac:dyDescent="0.25">
      <c r="A2" s="59" t="s">
        <v>51</v>
      </c>
      <c r="B2" s="59"/>
      <c r="C2" s="59"/>
      <c r="D2" s="59"/>
      <c r="E2" s="59"/>
      <c r="F2" s="59"/>
      <c r="G2" s="59"/>
      <c r="H2" s="59"/>
      <c r="I2" s="59"/>
      <c r="J2" s="59"/>
    </row>
    <row r="3" spans="1:11" ht="33.6" customHeight="1" x14ac:dyDescent="0.35">
      <c r="A3" s="60" t="s">
        <v>52</v>
      </c>
      <c r="B3" s="60"/>
      <c r="C3" s="60"/>
      <c r="D3" s="60"/>
      <c r="E3" s="60"/>
      <c r="F3" s="60"/>
      <c r="G3" s="60"/>
      <c r="H3" s="60"/>
      <c r="I3" s="60"/>
      <c r="J3" s="60"/>
      <c r="K3" s="60"/>
    </row>
    <row r="4" spans="1:11" x14ac:dyDescent="0.25">
      <c r="A4" s="45" t="s">
        <v>53</v>
      </c>
      <c r="B4" s="45" t="s">
        <v>30</v>
      </c>
      <c r="C4" s="45" t="s">
        <v>31</v>
      </c>
      <c r="D4" s="45" t="s">
        <v>32</v>
      </c>
      <c r="E4" s="45" t="s">
        <v>33</v>
      </c>
      <c r="F4" s="45" t="s">
        <v>34</v>
      </c>
      <c r="G4" s="45" t="s">
        <v>35</v>
      </c>
      <c r="H4" s="45" t="s">
        <v>36</v>
      </c>
      <c r="I4" s="45" t="s">
        <v>37</v>
      </c>
      <c r="J4" s="45" t="s">
        <v>38</v>
      </c>
      <c r="K4" s="45" t="s">
        <v>39</v>
      </c>
    </row>
    <row r="5" spans="1:11" ht="19.5" customHeight="1" x14ac:dyDescent="0.25">
      <c r="A5" s="47">
        <v>44910.92620396991</v>
      </c>
      <c r="B5" s="46">
        <v>268</v>
      </c>
      <c r="C5" s="50" t="s">
        <v>29</v>
      </c>
      <c r="D5" s="50" t="s">
        <v>29</v>
      </c>
      <c r="E5" s="46">
        <v>129</v>
      </c>
      <c r="F5" s="46"/>
      <c r="G5" s="46"/>
      <c r="H5" s="46"/>
      <c r="I5" s="46"/>
      <c r="J5" s="46"/>
      <c r="K5" s="46"/>
    </row>
    <row r="6" spans="1:11" ht="33.6" customHeight="1" x14ac:dyDescent="0.35">
      <c r="A6" s="61" t="s">
        <v>54</v>
      </c>
      <c r="B6" s="61"/>
      <c r="C6" s="61"/>
      <c r="D6" s="61"/>
      <c r="E6" s="61"/>
      <c r="F6" s="61"/>
      <c r="G6" s="61"/>
      <c r="H6" s="61"/>
      <c r="I6" s="61"/>
      <c r="J6" s="61"/>
      <c r="K6" s="61"/>
    </row>
    <row r="7" spans="1:11" x14ac:dyDescent="0.25">
      <c r="A7" s="45" t="s">
        <v>53</v>
      </c>
      <c r="B7" s="45" t="s">
        <v>30</v>
      </c>
      <c r="C7" s="45" t="s">
        <v>31</v>
      </c>
      <c r="D7" s="45" t="s">
        <v>32</v>
      </c>
      <c r="E7" s="45" t="s">
        <v>33</v>
      </c>
      <c r="F7" s="45" t="s">
        <v>34</v>
      </c>
      <c r="G7" s="45" t="s">
        <v>35</v>
      </c>
      <c r="H7" s="45" t="s">
        <v>36</v>
      </c>
      <c r="I7" s="45" t="s">
        <v>37</v>
      </c>
      <c r="J7" s="45" t="s">
        <v>38</v>
      </c>
      <c r="K7" s="45" t="s">
        <v>39</v>
      </c>
    </row>
    <row r="8" spans="1:11" ht="19.5" customHeight="1" x14ac:dyDescent="0.25">
      <c r="A8" s="49"/>
      <c r="B8" s="48"/>
      <c r="C8" s="48"/>
      <c r="D8" s="48"/>
      <c r="E8" s="48"/>
      <c r="F8" s="48"/>
      <c r="G8" s="48"/>
      <c r="H8" s="48"/>
      <c r="I8" s="48"/>
      <c r="J8" s="48"/>
      <c r="K8" s="48"/>
    </row>
    <row r="9" spans="1:11" ht="19.5" customHeight="1" x14ac:dyDescent="0.25">
      <c r="A9" s="9"/>
      <c r="B9" s="36"/>
      <c r="C9" s="36"/>
      <c r="D9" s="36"/>
      <c r="E9" s="36"/>
      <c r="F9" s="36"/>
      <c r="G9" s="36"/>
      <c r="H9" s="36"/>
      <c r="I9" s="36"/>
      <c r="J9" s="36"/>
      <c r="K9" s="36"/>
    </row>
    <row r="10" spans="1:11" ht="19.5" customHeight="1" x14ac:dyDescent="0.25">
      <c r="A10" s="9"/>
      <c r="B10" s="36"/>
      <c r="C10" s="36"/>
      <c r="D10" s="36"/>
      <c r="E10" s="36"/>
      <c r="F10" s="36"/>
      <c r="G10" s="36"/>
      <c r="H10" s="36"/>
      <c r="I10" s="36"/>
      <c r="J10" s="36"/>
      <c r="K10" s="36"/>
    </row>
    <row r="11" spans="1:11" ht="19.5" customHeight="1" x14ac:dyDescent="0.25">
      <c r="A11" s="9"/>
      <c r="B11" s="36"/>
      <c r="C11" s="36"/>
      <c r="D11" s="36"/>
      <c r="E11" s="36"/>
      <c r="F11" s="36"/>
      <c r="G11" s="36"/>
      <c r="H11" s="36"/>
      <c r="I11" s="36"/>
      <c r="J11" s="36"/>
      <c r="K11" s="36"/>
    </row>
    <row r="12" spans="1:11" ht="19.5" customHeight="1" x14ac:dyDescent="0.25">
      <c r="A12" s="9"/>
      <c r="B12" s="36"/>
      <c r="C12" s="36"/>
      <c r="D12" s="36"/>
      <c r="E12" s="36"/>
      <c r="F12" s="36"/>
      <c r="G12" s="36"/>
      <c r="H12" s="36"/>
      <c r="I12" s="36"/>
      <c r="J12" s="36"/>
      <c r="K12" s="36"/>
    </row>
    <row r="13" spans="1:11" ht="19.5" customHeight="1" x14ac:dyDescent="0.25">
      <c r="A13" s="9"/>
      <c r="B13" s="36"/>
      <c r="C13" s="36"/>
      <c r="D13" s="36"/>
      <c r="E13" s="36"/>
      <c r="F13" s="36"/>
      <c r="G13" s="36"/>
      <c r="H13" s="36"/>
      <c r="I13" s="36"/>
      <c r="J13" s="36"/>
      <c r="K13" s="36"/>
    </row>
    <row r="14" spans="1:11" ht="19.5" customHeight="1" x14ac:dyDescent="0.25">
      <c r="A14" s="9"/>
      <c r="B14" s="36"/>
      <c r="C14" s="36"/>
      <c r="D14" s="36"/>
      <c r="E14" s="36"/>
      <c r="F14" s="36"/>
      <c r="G14" s="36"/>
      <c r="H14" s="36"/>
      <c r="I14" s="36"/>
      <c r="J14" s="36"/>
      <c r="K14" s="36"/>
    </row>
    <row r="15" spans="1:11" ht="19.5" customHeight="1" x14ac:dyDescent="0.25">
      <c r="A15" s="9"/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1:11" ht="19.5" customHeight="1" x14ac:dyDescent="0.25">
      <c r="A16" s="9"/>
      <c r="B16" s="36"/>
      <c r="C16" s="36"/>
      <c r="D16" s="36"/>
      <c r="E16" s="36"/>
      <c r="F16" s="36"/>
      <c r="G16" s="36"/>
      <c r="H16" s="36"/>
      <c r="I16" s="36"/>
      <c r="J16" s="36"/>
      <c r="K16" s="36"/>
    </row>
    <row r="17" spans="1:11" ht="19.5" customHeight="1" x14ac:dyDescent="0.25">
      <c r="A17" s="9"/>
      <c r="B17" s="36"/>
      <c r="C17" s="36"/>
      <c r="D17" s="36"/>
      <c r="E17" s="36"/>
      <c r="F17" s="36"/>
      <c r="G17" s="36"/>
      <c r="H17" s="36"/>
      <c r="I17" s="36"/>
      <c r="J17" s="36"/>
      <c r="K17" s="36"/>
    </row>
    <row r="18" spans="1:11" ht="19.5" customHeight="1" x14ac:dyDescent="0.25">
      <c r="A18" s="9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9.5" customHeight="1" x14ac:dyDescent="0.25">
      <c r="A19" s="9"/>
      <c r="B19" s="36"/>
      <c r="C19" s="36"/>
      <c r="D19" s="36"/>
      <c r="E19" s="36"/>
      <c r="F19" s="36"/>
      <c r="G19" s="36"/>
      <c r="H19" s="36"/>
      <c r="I19" s="36"/>
      <c r="J19" s="36"/>
      <c r="K19" s="36"/>
    </row>
    <row r="20" spans="1:11" ht="19.5" customHeight="1" x14ac:dyDescent="0.25">
      <c r="A20" s="9"/>
      <c r="B20" s="36"/>
      <c r="C20" s="36"/>
      <c r="D20" s="36"/>
      <c r="E20" s="36"/>
      <c r="F20" s="36"/>
      <c r="G20" s="36"/>
      <c r="H20" s="36"/>
      <c r="I20" s="36"/>
      <c r="J20" s="36"/>
      <c r="K20" s="36"/>
    </row>
    <row r="21" spans="1:11" ht="19.5" customHeight="1" x14ac:dyDescent="0.25">
      <c r="A21" s="9"/>
      <c r="B21" s="36"/>
      <c r="C21" s="36"/>
      <c r="D21" s="36"/>
      <c r="E21" s="36"/>
      <c r="F21" s="36"/>
      <c r="G21" s="36"/>
      <c r="H21" s="36"/>
      <c r="I21" s="36"/>
      <c r="J21" s="36"/>
      <c r="K21" s="36"/>
    </row>
    <row r="22" spans="1:11" ht="19.5" customHeight="1" x14ac:dyDescent="0.25">
      <c r="A22" s="9"/>
      <c r="B22" s="36"/>
      <c r="C22" s="36"/>
      <c r="D22" s="36"/>
      <c r="E22" s="36"/>
      <c r="F22" s="36"/>
      <c r="G22" s="36"/>
      <c r="H22" s="36"/>
      <c r="I22" s="36"/>
      <c r="J22" s="36"/>
      <c r="K22" s="36"/>
    </row>
    <row r="23" spans="1:11" ht="19.5" customHeight="1" x14ac:dyDescent="0.25">
      <c r="A23" s="9"/>
      <c r="B23" s="36"/>
      <c r="C23" s="36"/>
      <c r="D23" s="36"/>
      <c r="E23" s="36"/>
      <c r="F23" s="36"/>
      <c r="G23" s="36"/>
      <c r="H23" s="36"/>
      <c r="I23" s="36"/>
      <c r="J23" s="36"/>
      <c r="K23" s="36"/>
    </row>
    <row r="24" spans="1:11" ht="19.5" customHeight="1" x14ac:dyDescent="0.25">
      <c r="A24" s="9"/>
      <c r="B24" s="36"/>
      <c r="C24" s="36"/>
      <c r="D24" s="36"/>
      <c r="E24" s="36"/>
      <c r="F24" s="36"/>
      <c r="G24" s="36"/>
      <c r="H24" s="36"/>
      <c r="I24" s="36"/>
      <c r="J24" s="36"/>
      <c r="K24" s="36"/>
    </row>
    <row r="25" spans="1:11" ht="19.5" customHeight="1" x14ac:dyDescent="0.25">
      <c r="A25" s="9"/>
      <c r="B25" s="36"/>
      <c r="C25" s="36"/>
      <c r="D25" s="36"/>
      <c r="E25" s="36"/>
      <c r="F25" s="36"/>
      <c r="G25" s="36"/>
      <c r="H25" s="36"/>
      <c r="I25" s="36"/>
      <c r="J25" s="36"/>
      <c r="K25" s="36"/>
    </row>
    <row r="26" spans="1:11" ht="19.5" customHeight="1" x14ac:dyDescent="0.25">
      <c r="A26" s="9"/>
      <c r="B26" s="36"/>
      <c r="C26" s="36"/>
      <c r="D26" s="36"/>
      <c r="E26" s="36"/>
      <c r="F26" s="36"/>
      <c r="G26" s="36"/>
      <c r="H26" s="36"/>
      <c r="I26" s="36"/>
      <c r="J26" s="36"/>
      <c r="K26" s="36"/>
    </row>
    <row r="27" spans="1:11" ht="19.5" customHeight="1" x14ac:dyDescent="0.25">
      <c r="A27" s="9"/>
      <c r="B27" s="36"/>
      <c r="C27" s="36"/>
      <c r="D27" s="36"/>
      <c r="E27" s="36"/>
      <c r="F27" s="36"/>
      <c r="G27" s="36"/>
      <c r="H27" s="36"/>
      <c r="I27" s="36"/>
      <c r="J27" s="36"/>
      <c r="K27" s="36"/>
    </row>
    <row r="28" spans="1:11" ht="19.5" customHeight="1" x14ac:dyDescent="0.25">
      <c r="A28" s="9"/>
      <c r="B28" s="36"/>
      <c r="C28" s="36"/>
      <c r="D28" s="36"/>
      <c r="E28" s="36"/>
      <c r="F28" s="36"/>
      <c r="G28" s="36"/>
      <c r="H28" s="36"/>
      <c r="I28" s="36"/>
      <c r="J28" s="36"/>
      <c r="K28" s="36"/>
    </row>
    <row r="29" spans="1:11" ht="19.5" customHeight="1" x14ac:dyDescent="0.25">
      <c r="A29" s="9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19.5" customHeight="1" x14ac:dyDescent="0.25">
      <c r="A30" s="9"/>
      <c r="B30" s="36"/>
      <c r="C30" s="36"/>
      <c r="D30" s="36"/>
      <c r="E30" s="36"/>
      <c r="F30" s="36"/>
      <c r="G30" s="36"/>
      <c r="H30" s="36"/>
      <c r="I30" s="36"/>
      <c r="J30" s="36"/>
      <c r="K30" s="36"/>
    </row>
    <row r="31" spans="1:11" ht="19.5" customHeight="1" x14ac:dyDescent="0.25">
      <c r="A31" s="9"/>
      <c r="B31" s="36"/>
      <c r="C31" s="36"/>
      <c r="D31" s="36"/>
      <c r="E31" s="36"/>
      <c r="F31" s="36"/>
      <c r="G31" s="36"/>
      <c r="H31" s="36"/>
      <c r="I31" s="36"/>
      <c r="J31" s="36"/>
      <c r="K31" s="36"/>
    </row>
    <row r="32" spans="1:11" ht="19.5" customHeight="1" x14ac:dyDescent="0.25">
      <c r="A32" s="9"/>
      <c r="B32" s="36"/>
      <c r="C32" s="36"/>
      <c r="D32" s="36"/>
      <c r="E32" s="36"/>
      <c r="F32" s="36"/>
      <c r="G32" s="36"/>
      <c r="H32" s="36"/>
      <c r="I32" s="36"/>
      <c r="J32" s="36"/>
      <c r="K32" s="36"/>
    </row>
    <row r="33" spans="1:11" ht="19.5" customHeight="1" x14ac:dyDescent="0.25">
      <c r="A33" s="9"/>
      <c r="B33" s="36"/>
      <c r="C33" s="36"/>
      <c r="D33" s="36"/>
      <c r="E33" s="36"/>
      <c r="F33" s="36"/>
      <c r="G33" s="36"/>
      <c r="H33" s="36"/>
      <c r="I33" s="36"/>
      <c r="J33" s="36"/>
      <c r="K33" s="36"/>
    </row>
    <row r="34" spans="1:11" ht="19.5" customHeight="1" x14ac:dyDescent="0.25">
      <c r="A34" s="9"/>
      <c r="B34" s="36"/>
      <c r="C34" s="36"/>
      <c r="D34" s="36"/>
      <c r="E34" s="36"/>
      <c r="F34" s="36"/>
      <c r="G34" s="36"/>
      <c r="H34" s="36"/>
      <c r="I34" s="36"/>
      <c r="J34" s="36"/>
      <c r="K34" s="36"/>
    </row>
    <row r="35" spans="1:11" ht="19.5" customHeight="1" x14ac:dyDescent="0.25">
      <c r="A35" s="9"/>
      <c r="B35" s="36"/>
      <c r="C35" s="36"/>
      <c r="D35" s="36"/>
      <c r="E35" s="36"/>
      <c r="F35" s="36"/>
      <c r="G35" s="36"/>
      <c r="H35" s="36"/>
      <c r="I35" s="36"/>
      <c r="J35" s="36"/>
      <c r="K35" s="36"/>
    </row>
    <row r="36" spans="1:11" ht="19.5" customHeight="1" x14ac:dyDescent="0.25">
      <c r="A36" s="9"/>
      <c r="B36" s="36"/>
      <c r="C36" s="36"/>
      <c r="D36" s="36"/>
      <c r="E36" s="36"/>
      <c r="F36" s="36"/>
      <c r="G36" s="36"/>
      <c r="H36" s="36"/>
      <c r="I36" s="36"/>
      <c r="J36" s="36"/>
      <c r="K36" s="36"/>
    </row>
    <row r="37" spans="1:11" ht="19.5" customHeight="1" x14ac:dyDescent="0.25">
      <c r="A37" s="9"/>
      <c r="B37" s="36"/>
      <c r="C37" s="36"/>
      <c r="D37" s="36"/>
      <c r="E37" s="36"/>
      <c r="F37" s="36"/>
      <c r="G37" s="36"/>
      <c r="H37" s="36"/>
      <c r="I37" s="36"/>
      <c r="J37" s="36"/>
      <c r="K37" s="36"/>
    </row>
    <row r="38" spans="1:11" ht="19.5" customHeight="1" x14ac:dyDescent="0.25">
      <c r="A38" s="9"/>
      <c r="B38" s="36"/>
      <c r="C38" s="36"/>
      <c r="D38" s="36"/>
      <c r="E38" s="36"/>
      <c r="F38" s="36"/>
      <c r="G38" s="36"/>
      <c r="H38" s="36"/>
      <c r="I38" s="36"/>
      <c r="J38" s="36"/>
      <c r="K38" s="36"/>
    </row>
    <row r="39" spans="1:11" ht="19.5" customHeight="1" x14ac:dyDescent="0.25">
      <c r="A39" s="9"/>
      <c r="B39" s="36"/>
      <c r="C39" s="36"/>
      <c r="D39" s="36"/>
      <c r="E39" s="36"/>
      <c r="F39" s="36"/>
      <c r="G39" s="36"/>
      <c r="H39" s="36"/>
      <c r="I39" s="36"/>
      <c r="J39" s="36"/>
      <c r="K39" s="36"/>
    </row>
    <row r="40" spans="1:11" ht="19.5" customHeight="1" x14ac:dyDescent="0.25">
      <c r="A40" s="9"/>
      <c r="B40" s="36"/>
      <c r="C40" s="36"/>
      <c r="D40" s="36"/>
      <c r="E40" s="36"/>
      <c r="F40" s="36"/>
      <c r="G40" s="36"/>
      <c r="H40" s="36"/>
      <c r="I40" s="36"/>
      <c r="J40" s="36"/>
      <c r="K40" s="36"/>
    </row>
    <row r="41" spans="1:11" ht="19.5" customHeight="1" x14ac:dyDescent="0.25">
      <c r="A41" s="9"/>
      <c r="B41" s="36"/>
      <c r="C41" s="36"/>
      <c r="D41" s="36"/>
      <c r="E41" s="36"/>
      <c r="F41" s="36"/>
      <c r="G41" s="36"/>
      <c r="H41" s="36"/>
      <c r="I41" s="36"/>
      <c r="J41" s="36"/>
      <c r="K41" s="36"/>
    </row>
    <row r="42" spans="1:11" ht="19.5" customHeight="1" x14ac:dyDescent="0.25">
      <c r="A42" s="9"/>
      <c r="B42" s="36"/>
      <c r="C42" s="36"/>
      <c r="D42" s="36"/>
      <c r="E42" s="36"/>
      <c r="F42" s="36"/>
      <c r="G42" s="36"/>
      <c r="H42" s="36"/>
      <c r="I42" s="36"/>
      <c r="J42" s="36"/>
      <c r="K42" s="36"/>
    </row>
    <row r="43" spans="1:11" ht="19.5" customHeight="1" x14ac:dyDescent="0.25">
      <c r="A43" s="9"/>
      <c r="B43" s="36"/>
      <c r="C43" s="36"/>
      <c r="D43" s="36"/>
      <c r="E43" s="36"/>
      <c r="F43" s="36"/>
      <c r="G43" s="36"/>
      <c r="H43" s="36"/>
      <c r="I43" s="36"/>
      <c r="J43" s="36"/>
      <c r="K43" s="36"/>
    </row>
    <row r="44" spans="1:11" ht="19.5" customHeight="1" x14ac:dyDescent="0.25">
      <c r="A44" s="9"/>
      <c r="B44" s="36"/>
      <c r="C44" s="36"/>
      <c r="D44" s="36"/>
      <c r="E44" s="36"/>
      <c r="F44" s="36"/>
      <c r="G44" s="36"/>
      <c r="H44" s="36"/>
      <c r="I44" s="36"/>
      <c r="J44" s="36"/>
      <c r="K44" s="36"/>
    </row>
    <row r="45" spans="1:11" ht="19.5" customHeight="1" x14ac:dyDescent="0.25">
      <c r="A45" s="9"/>
      <c r="B45" s="36"/>
      <c r="C45" s="36"/>
      <c r="D45" s="36"/>
      <c r="E45" s="36"/>
      <c r="F45" s="36"/>
      <c r="G45" s="36"/>
      <c r="H45" s="36"/>
      <c r="I45" s="36"/>
      <c r="J45" s="36"/>
      <c r="K45" s="36"/>
    </row>
    <row r="46" spans="1:11" ht="19.5" customHeight="1" x14ac:dyDescent="0.25">
      <c r="A46" s="9"/>
      <c r="B46" s="36"/>
      <c r="C46" s="36"/>
      <c r="D46" s="36"/>
      <c r="E46" s="36"/>
      <c r="F46" s="36"/>
      <c r="G46" s="36"/>
      <c r="H46" s="36"/>
      <c r="I46" s="36"/>
      <c r="J46" s="36"/>
      <c r="K46" s="36"/>
    </row>
    <row r="47" spans="1:11" ht="19.5" customHeight="1" x14ac:dyDescent="0.25">
      <c r="A47" s="9"/>
      <c r="B47" s="36"/>
      <c r="C47" s="36"/>
      <c r="D47" s="36"/>
      <c r="E47" s="36"/>
      <c r="F47" s="36"/>
      <c r="G47" s="36"/>
      <c r="H47" s="36"/>
      <c r="I47" s="36"/>
      <c r="J47" s="36"/>
      <c r="K47" s="36"/>
    </row>
    <row r="48" spans="1:11" ht="19.5" customHeight="1" x14ac:dyDescent="0.25">
      <c r="A48" s="9"/>
      <c r="B48" s="36"/>
      <c r="C48" s="36"/>
      <c r="D48" s="36"/>
      <c r="E48" s="36"/>
      <c r="F48" s="36"/>
      <c r="G48" s="36"/>
      <c r="H48" s="36"/>
      <c r="I48" s="36"/>
      <c r="J48" s="36"/>
      <c r="K48" s="36"/>
    </row>
    <row r="49" spans="1:11" ht="19.5" customHeight="1" x14ac:dyDescent="0.25">
      <c r="A49" s="9"/>
      <c r="B49" s="36"/>
      <c r="C49" s="36"/>
      <c r="D49" s="36"/>
      <c r="E49" s="36"/>
      <c r="F49" s="36"/>
      <c r="G49" s="36"/>
      <c r="H49" s="36"/>
      <c r="I49" s="36"/>
      <c r="J49" s="36"/>
      <c r="K49" s="36"/>
    </row>
    <row r="50" spans="1:11" ht="19.5" customHeight="1" x14ac:dyDescent="0.25">
      <c r="A50" s="9"/>
      <c r="B50" s="36"/>
      <c r="C50" s="36"/>
      <c r="D50" s="36"/>
      <c r="E50" s="36"/>
      <c r="F50" s="36"/>
      <c r="G50" s="36"/>
      <c r="H50" s="36"/>
      <c r="I50" s="36"/>
      <c r="J50" s="36"/>
      <c r="K50" s="36"/>
    </row>
    <row r="51" spans="1:11" ht="19.5" customHeight="1" x14ac:dyDescent="0.25">
      <c r="A51" s="9"/>
      <c r="B51" s="36"/>
      <c r="C51" s="36"/>
      <c r="D51" s="36"/>
      <c r="E51" s="36"/>
      <c r="F51" s="36"/>
      <c r="G51" s="36"/>
      <c r="H51" s="36"/>
      <c r="I51" s="36"/>
      <c r="J51" s="36"/>
      <c r="K51" s="36"/>
    </row>
    <row r="52" spans="1:11" ht="19.5" customHeight="1" x14ac:dyDescent="0.25">
      <c r="A52" s="9"/>
      <c r="B52" s="36"/>
      <c r="C52" s="36"/>
      <c r="D52" s="36"/>
      <c r="E52" s="36"/>
      <c r="F52" s="36"/>
      <c r="G52" s="36"/>
      <c r="H52" s="36"/>
      <c r="I52" s="36"/>
      <c r="J52" s="36"/>
      <c r="K52" s="36"/>
    </row>
    <row r="53" spans="1:11" ht="19.5" customHeight="1" x14ac:dyDescent="0.25">
      <c r="A53" s="9"/>
      <c r="B53" s="36"/>
      <c r="C53" s="36"/>
      <c r="D53" s="36"/>
      <c r="E53" s="36"/>
      <c r="F53" s="36"/>
      <c r="G53" s="36"/>
      <c r="H53" s="36"/>
      <c r="I53" s="36"/>
      <c r="J53" s="36"/>
      <c r="K53" s="36"/>
    </row>
    <row r="54" spans="1:11" ht="19.5" customHeight="1" x14ac:dyDescent="0.25">
      <c r="A54" s="9"/>
      <c r="B54" s="36"/>
      <c r="C54" s="36"/>
      <c r="D54" s="36"/>
      <c r="E54" s="36"/>
      <c r="F54" s="36"/>
      <c r="G54" s="36"/>
      <c r="H54" s="36"/>
      <c r="I54" s="36"/>
      <c r="J54" s="36"/>
      <c r="K54" s="36"/>
    </row>
    <row r="55" spans="1:11" ht="19.5" customHeight="1" x14ac:dyDescent="0.25">
      <c r="A55" s="9"/>
      <c r="B55" s="36"/>
      <c r="C55" s="36"/>
      <c r="D55" s="36"/>
      <c r="E55" s="36"/>
      <c r="F55" s="36"/>
      <c r="G55" s="36"/>
      <c r="H55" s="36"/>
      <c r="I55" s="36"/>
      <c r="J55" s="36"/>
      <c r="K55" s="36"/>
    </row>
    <row r="56" spans="1:11" ht="19.5" customHeight="1" x14ac:dyDescent="0.25">
      <c r="A56" s="9"/>
      <c r="B56" s="36"/>
      <c r="C56" s="36"/>
      <c r="D56" s="36"/>
      <c r="E56" s="36"/>
      <c r="F56" s="36"/>
      <c r="G56" s="36"/>
      <c r="H56" s="36"/>
      <c r="I56" s="36"/>
      <c r="J56" s="36"/>
      <c r="K56" s="36"/>
    </row>
    <row r="57" spans="1:11" ht="19.5" customHeight="1" x14ac:dyDescent="0.25">
      <c r="A57" s="9"/>
      <c r="B57" s="36"/>
      <c r="C57" s="36"/>
      <c r="D57" s="36"/>
      <c r="E57" s="36"/>
      <c r="F57" s="36"/>
      <c r="G57" s="36"/>
      <c r="H57" s="36"/>
      <c r="I57" s="36"/>
      <c r="J57" s="36"/>
      <c r="K57" s="36"/>
    </row>
    <row r="58" spans="1:11" ht="19.5" customHeight="1" x14ac:dyDescent="0.25">
      <c r="A58" s="9"/>
      <c r="B58" s="36"/>
      <c r="C58" s="36"/>
      <c r="D58" s="36"/>
      <c r="E58" s="36"/>
      <c r="F58" s="36"/>
      <c r="G58" s="36"/>
      <c r="H58" s="36"/>
      <c r="I58" s="36"/>
      <c r="J58" s="36"/>
      <c r="K58" s="36"/>
    </row>
    <row r="59" spans="1:11" ht="19.5" customHeight="1" x14ac:dyDescent="0.25">
      <c r="A59" s="9"/>
      <c r="B59" s="36"/>
      <c r="C59" s="36"/>
      <c r="D59" s="36"/>
      <c r="E59" s="36"/>
      <c r="F59" s="36"/>
      <c r="G59" s="36"/>
      <c r="H59" s="36"/>
      <c r="I59" s="36"/>
      <c r="J59" s="36"/>
      <c r="K59" s="36"/>
    </row>
    <row r="60" spans="1:11" ht="19.5" customHeight="1" x14ac:dyDescent="0.25">
      <c r="A60" s="9"/>
      <c r="B60" s="36"/>
      <c r="C60" s="36"/>
      <c r="D60" s="36"/>
      <c r="E60" s="36"/>
      <c r="F60" s="36"/>
      <c r="G60" s="36"/>
      <c r="H60" s="36"/>
      <c r="I60" s="36"/>
      <c r="J60" s="36"/>
      <c r="K60" s="36"/>
    </row>
    <row r="61" spans="1:11" ht="19.5" customHeight="1" x14ac:dyDescent="0.25">
      <c r="A61" s="9"/>
      <c r="B61" s="36"/>
      <c r="C61" s="36"/>
      <c r="D61" s="36"/>
      <c r="E61" s="36"/>
      <c r="F61" s="36"/>
      <c r="G61" s="36"/>
      <c r="H61" s="36"/>
      <c r="I61" s="36"/>
      <c r="J61" s="36"/>
      <c r="K61" s="36"/>
    </row>
    <row r="62" spans="1:11" ht="19.5" customHeight="1" x14ac:dyDescent="0.25">
      <c r="A62" s="9"/>
      <c r="B62" s="36"/>
      <c r="C62" s="36"/>
      <c r="D62" s="36"/>
      <c r="E62" s="36"/>
      <c r="F62" s="36"/>
      <c r="G62" s="36"/>
      <c r="H62" s="36"/>
      <c r="I62" s="36"/>
      <c r="J62" s="36"/>
      <c r="K62" s="36"/>
    </row>
    <row r="63" spans="1:11" ht="19.5" customHeight="1" x14ac:dyDescent="0.25">
      <c r="A63" s="9"/>
      <c r="B63" s="36"/>
      <c r="C63" s="36"/>
      <c r="D63" s="36"/>
      <c r="E63" s="36"/>
      <c r="F63" s="36"/>
      <c r="G63" s="36"/>
      <c r="H63" s="36"/>
      <c r="I63" s="36"/>
      <c r="J63" s="36"/>
      <c r="K63" s="36"/>
    </row>
    <row r="64" spans="1:11" ht="19.5" customHeight="1" x14ac:dyDescent="0.25">
      <c r="A64" s="9"/>
      <c r="B64" s="36"/>
      <c r="C64" s="36"/>
      <c r="D64" s="36"/>
      <c r="E64" s="36"/>
      <c r="F64" s="36"/>
      <c r="G64" s="36"/>
      <c r="H64" s="36"/>
      <c r="I64" s="36"/>
      <c r="J64" s="36"/>
      <c r="K64" s="36"/>
    </row>
    <row r="65" spans="1:11" ht="19.5" customHeight="1" x14ac:dyDescent="0.25">
      <c r="A65" s="9"/>
      <c r="B65" s="36"/>
      <c r="C65" s="36"/>
      <c r="D65" s="36"/>
      <c r="E65" s="36"/>
      <c r="F65" s="36"/>
      <c r="G65" s="36"/>
      <c r="H65" s="36"/>
      <c r="I65" s="36"/>
      <c r="J65" s="36"/>
      <c r="K65" s="36"/>
    </row>
    <row r="66" spans="1:11" ht="19.5" customHeight="1" x14ac:dyDescent="0.25">
      <c r="A66" s="9"/>
      <c r="B66" s="36"/>
      <c r="C66" s="36"/>
      <c r="D66" s="36"/>
      <c r="E66" s="36"/>
      <c r="F66" s="36"/>
      <c r="G66" s="36"/>
      <c r="H66" s="36"/>
      <c r="I66" s="36"/>
      <c r="J66" s="36"/>
      <c r="K66" s="36"/>
    </row>
    <row r="67" spans="1:11" ht="19.5" customHeight="1" x14ac:dyDescent="0.25">
      <c r="A67" s="9"/>
      <c r="B67" s="36"/>
      <c r="C67" s="36"/>
      <c r="D67" s="36"/>
      <c r="E67" s="36"/>
      <c r="F67" s="36"/>
      <c r="G67" s="36"/>
      <c r="H67" s="36"/>
      <c r="I67" s="36"/>
      <c r="J67" s="36"/>
      <c r="K67" s="36"/>
    </row>
    <row r="68" spans="1:11" ht="19.5" customHeight="1" x14ac:dyDescent="0.25">
      <c r="A68" s="9"/>
      <c r="B68" s="36"/>
      <c r="C68" s="36"/>
      <c r="D68" s="36"/>
      <c r="E68" s="36"/>
      <c r="F68" s="36"/>
      <c r="G68" s="36"/>
      <c r="H68" s="36"/>
      <c r="I68" s="36"/>
      <c r="J68" s="36"/>
      <c r="K68" s="36"/>
    </row>
    <row r="69" spans="1:11" ht="19.5" customHeight="1" x14ac:dyDescent="0.25">
      <c r="A69" s="9"/>
      <c r="B69" s="36"/>
      <c r="C69" s="36"/>
      <c r="D69" s="36"/>
      <c r="E69" s="36"/>
      <c r="F69" s="36"/>
      <c r="G69" s="36"/>
      <c r="H69" s="36"/>
      <c r="I69" s="36"/>
      <c r="J69" s="36"/>
      <c r="K69" s="36"/>
    </row>
    <row r="70" spans="1:11" ht="19.5" customHeight="1" x14ac:dyDescent="0.25">
      <c r="A70" s="9"/>
      <c r="B70" s="36"/>
      <c r="C70" s="36"/>
      <c r="D70" s="36"/>
      <c r="E70" s="36"/>
      <c r="F70" s="36"/>
      <c r="G70" s="36"/>
      <c r="H70" s="36"/>
      <c r="I70" s="36"/>
      <c r="J70" s="36"/>
      <c r="K70" s="36"/>
    </row>
    <row r="71" spans="1:11" ht="19.5" customHeight="1" x14ac:dyDescent="0.25">
      <c r="A71" s="9"/>
      <c r="B71" s="36"/>
      <c r="C71" s="36"/>
      <c r="D71" s="36"/>
      <c r="E71" s="36"/>
      <c r="F71" s="36"/>
      <c r="G71" s="36"/>
      <c r="H71" s="36"/>
      <c r="I71" s="36"/>
      <c r="J71" s="36"/>
      <c r="K71" s="36"/>
    </row>
    <row r="72" spans="1:11" ht="19.5" customHeight="1" x14ac:dyDescent="0.25">
      <c r="A72" s="9"/>
      <c r="B72" s="36"/>
      <c r="C72" s="36"/>
      <c r="D72" s="36"/>
      <c r="E72" s="36"/>
      <c r="F72" s="36"/>
      <c r="G72" s="36"/>
      <c r="H72" s="36"/>
      <c r="I72" s="36"/>
      <c r="J72" s="36"/>
      <c r="K72" s="36"/>
    </row>
    <row r="73" spans="1:11" ht="19.5" customHeight="1" x14ac:dyDescent="0.25">
      <c r="A73" s="9"/>
      <c r="B73" s="36"/>
      <c r="C73" s="36"/>
      <c r="D73" s="36"/>
      <c r="E73" s="36"/>
      <c r="F73" s="36"/>
      <c r="G73" s="36"/>
      <c r="H73" s="36"/>
      <c r="I73" s="36"/>
      <c r="J73" s="36"/>
      <c r="K73" s="36"/>
    </row>
    <row r="74" spans="1:11" ht="19.5" customHeight="1" x14ac:dyDescent="0.25">
      <c r="A74" s="9"/>
      <c r="B74" s="36"/>
      <c r="C74" s="36"/>
      <c r="D74" s="36"/>
      <c r="E74" s="36"/>
      <c r="F74" s="36"/>
      <c r="G74" s="36"/>
      <c r="H74" s="36"/>
      <c r="I74" s="36"/>
      <c r="J74" s="36"/>
      <c r="K74" s="36"/>
    </row>
    <row r="75" spans="1:11" ht="19.5" customHeight="1" x14ac:dyDescent="0.25">
      <c r="A75" s="9"/>
      <c r="B75" s="36"/>
      <c r="C75" s="36"/>
      <c r="D75" s="36"/>
      <c r="E75" s="36"/>
      <c r="F75" s="36"/>
      <c r="G75" s="36"/>
      <c r="H75" s="36"/>
      <c r="I75" s="36"/>
      <c r="J75" s="36"/>
      <c r="K75" s="36"/>
    </row>
    <row r="76" spans="1:11" ht="19.5" customHeight="1" x14ac:dyDescent="0.25">
      <c r="A76" s="9"/>
      <c r="B76" s="36"/>
      <c r="C76" s="36"/>
      <c r="D76" s="36"/>
      <c r="E76" s="36"/>
      <c r="F76" s="36"/>
      <c r="G76" s="36"/>
      <c r="H76" s="36"/>
      <c r="I76" s="36"/>
      <c r="J76" s="36"/>
      <c r="K76" s="36"/>
    </row>
    <row r="77" spans="1:11" ht="19.5" customHeight="1" x14ac:dyDescent="0.25">
      <c r="A77" s="9"/>
      <c r="B77" s="36"/>
      <c r="C77" s="36"/>
      <c r="D77" s="36"/>
      <c r="E77" s="36"/>
      <c r="F77" s="36"/>
      <c r="G77" s="36"/>
      <c r="H77" s="36"/>
      <c r="I77" s="36"/>
      <c r="J77" s="36"/>
      <c r="K77" s="36"/>
    </row>
    <row r="78" spans="1:11" ht="19.5" customHeight="1" x14ac:dyDescent="0.25">
      <c r="A78" s="9"/>
      <c r="B78" s="36"/>
      <c r="C78" s="36"/>
      <c r="D78" s="36"/>
      <c r="E78" s="36"/>
      <c r="F78" s="36"/>
      <c r="G78" s="36"/>
      <c r="H78" s="36"/>
      <c r="I78" s="36"/>
      <c r="J78" s="36"/>
      <c r="K78" s="36"/>
    </row>
    <row r="79" spans="1:11" ht="19.5" customHeight="1" x14ac:dyDescent="0.25">
      <c r="A79" s="9"/>
      <c r="B79" s="36"/>
      <c r="C79" s="36"/>
      <c r="D79" s="36"/>
      <c r="E79" s="36"/>
      <c r="F79" s="36"/>
      <c r="G79" s="36"/>
      <c r="H79" s="36"/>
      <c r="I79" s="36"/>
      <c r="J79" s="36"/>
      <c r="K79" s="36"/>
    </row>
    <row r="80" spans="1:11" ht="19.5" customHeight="1" x14ac:dyDescent="0.25">
      <c r="A80" s="9"/>
      <c r="B80" s="36"/>
      <c r="C80" s="36"/>
      <c r="D80" s="36"/>
      <c r="E80" s="36"/>
      <c r="F80" s="36"/>
      <c r="G80" s="36"/>
      <c r="H80" s="36"/>
      <c r="I80" s="36"/>
      <c r="J80" s="36"/>
      <c r="K80" s="36"/>
    </row>
    <row r="81" spans="1:11" ht="19.5" customHeight="1" x14ac:dyDescent="0.25">
      <c r="A81" s="9"/>
      <c r="B81" s="36"/>
      <c r="C81" s="36"/>
      <c r="D81" s="36"/>
      <c r="E81" s="36"/>
      <c r="F81" s="36"/>
      <c r="G81" s="36"/>
      <c r="H81" s="36"/>
      <c r="I81" s="36"/>
      <c r="J81" s="36"/>
      <c r="K81" s="36"/>
    </row>
    <row r="82" spans="1:11" ht="19.5" customHeight="1" x14ac:dyDescent="0.25">
      <c r="A82" s="9"/>
      <c r="B82" s="36"/>
      <c r="C82" s="36"/>
      <c r="D82" s="36"/>
      <c r="E82" s="36"/>
      <c r="F82" s="36"/>
      <c r="G82" s="36"/>
      <c r="H82" s="36"/>
      <c r="I82" s="36"/>
      <c r="J82" s="36"/>
      <c r="K82" s="36"/>
    </row>
    <row r="83" spans="1:11" ht="19.5" customHeight="1" x14ac:dyDescent="0.25">
      <c r="A83" s="9"/>
      <c r="B83" s="36"/>
      <c r="C83" s="36"/>
      <c r="D83" s="36"/>
      <c r="E83" s="36"/>
      <c r="F83" s="36"/>
      <c r="G83" s="36"/>
      <c r="H83" s="36"/>
      <c r="I83" s="36"/>
      <c r="J83" s="36"/>
      <c r="K83" s="36"/>
    </row>
    <row r="84" spans="1:11" ht="19.5" customHeight="1" x14ac:dyDescent="0.25">
      <c r="A84" s="9"/>
      <c r="B84" s="36"/>
      <c r="C84" s="36"/>
      <c r="D84" s="36"/>
      <c r="E84" s="36"/>
      <c r="F84" s="36"/>
      <c r="G84" s="36"/>
      <c r="H84" s="36"/>
      <c r="I84" s="36"/>
      <c r="J84" s="36"/>
      <c r="K84" s="36"/>
    </row>
    <row r="85" spans="1:11" ht="19.5" customHeight="1" x14ac:dyDescent="0.25">
      <c r="A85" s="9"/>
      <c r="B85" s="36"/>
      <c r="C85" s="36"/>
      <c r="D85" s="36"/>
      <c r="E85" s="36"/>
      <c r="F85" s="36"/>
      <c r="G85" s="36"/>
      <c r="H85" s="36"/>
      <c r="I85" s="36"/>
      <c r="J85" s="36"/>
      <c r="K85" s="36"/>
    </row>
    <row r="86" spans="1:11" ht="19.5" customHeight="1" x14ac:dyDescent="0.25">
      <c r="A86" s="9"/>
      <c r="B86" s="36"/>
      <c r="C86" s="36"/>
      <c r="D86" s="36"/>
      <c r="E86" s="36"/>
      <c r="F86" s="36"/>
      <c r="G86" s="36"/>
      <c r="H86" s="36"/>
      <c r="I86" s="36"/>
      <c r="J86" s="36"/>
      <c r="K86" s="36"/>
    </row>
    <row r="87" spans="1:11" ht="19.5" customHeight="1" x14ac:dyDescent="0.25">
      <c r="A87" s="9"/>
      <c r="B87" s="36"/>
      <c r="C87" s="36"/>
      <c r="D87" s="36"/>
      <c r="E87" s="36"/>
      <c r="F87" s="36"/>
      <c r="G87" s="36"/>
      <c r="H87" s="36"/>
      <c r="I87" s="36"/>
      <c r="J87" s="36"/>
      <c r="K87" s="36"/>
    </row>
    <row r="88" spans="1:11" ht="19.5" customHeight="1" x14ac:dyDescent="0.25">
      <c r="A88" s="9"/>
      <c r="B88" s="36"/>
      <c r="C88" s="36"/>
      <c r="D88" s="36"/>
      <c r="E88" s="36"/>
      <c r="F88" s="36"/>
      <c r="G88" s="36"/>
      <c r="H88" s="36"/>
      <c r="I88" s="36"/>
      <c r="J88" s="36"/>
      <c r="K88" s="36"/>
    </row>
    <row r="89" spans="1:11" ht="19.5" customHeight="1" x14ac:dyDescent="0.25">
      <c r="A89" s="9"/>
      <c r="B89" s="36"/>
      <c r="C89" s="36"/>
      <c r="D89" s="36"/>
      <c r="E89" s="36"/>
      <c r="F89" s="36"/>
      <c r="G89" s="36"/>
      <c r="H89" s="36"/>
      <c r="I89" s="36"/>
      <c r="J89" s="36"/>
      <c r="K89" s="36"/>
    </row>
    <row r="90" spans="1:11" ht="19.5" customHeight="1" x14ac:dyDescent="0.25">
      <c r="A90" s="9"/>
      <c r="B90" s="36"/>
      <c r="C90" s="36"/>
      <c r="D90" s="36"/>
      <c r="E90" s="36"/>
      <c r="F90" s="36"/>
      <c r="G90" s="36"/>
      <c r="H90" s="36"/>
      <c r="I90" s="36"/>
      <c r="J90" s="36"/>
      <c r="K90" s="36"/>
    </row>
    <row r="91" spans="1:11" ht="19.5" customHeight="1" x14ac:dyDescent="0.25">
      <c r="A91" s="9"/>
      <c r="B91" s="36"/>
      <c r="C91" s="36"/>
      <c r="D91" s="36"/>
      <c r="E91" s="36"/>
      <c r="F91" s="36"/>
      <c r="G91" s="36"/>
      <c r="H91" s="36"/>
      <c r="I91" s="36"/>
      <c r="J91" s="36"/>
      <c r="K91" s="36"/>
    </row>
    <row r="92" spans="1:11" ht="19.5" customHeight="1" x14ac:dyDescent="0.25">
      <c r="A92" s="9"/>
      <c r="B92" s="36"/>
      <c r="C92" s="36"/>
      <c r="D92" s="36"/>
      <c r="E92" s="36"/>
      <c r="F92" s="36"/>
      <c r="G92" s="36"/>
      <c r="H92" s="36"/>
      <c r="I92" s="36"/>
      <c r="J92" s="36"/>
      <c r="K92" s="36"/>
    </row>
    <row r="93" spans="1:11" ht="19.5" customHeight="1" x14ac:dyDescent="0.25">
      <c r="A93" s="9"/>
      <c r="B93" s="36"/>
      <c r="C93" s="36"/>
      <c r="D93" s="36"/>
      <c r="E93" s="36"/>
      <c r="F93" s="36"/>
      <c r="G93" s="36"/>
      <c r="H93" s="36"/>
      <c r="I93" s="36"/>
      <c r="J93" s="36"/>
      <c r="K93" s="36"/>
    </row>
    <row r="94" spans="1:11" ht="19.5" customHeight="1" x14ac:dyDescent="0.25">
      <c r="A94" s="9"/>
      <c r="B94" s="36"/>
      <c r="C94" s="36"/>
      <c r="D94" s="36"/>
      <c r="E94" s="36"/>
      <c r="F94" s="36"/>
      <c r="G94" s="36"/>
      <c r="H94" s="36"/>
      <c r="I94" s="36"/>
      <c r="J94" s="36"/>
      <c r="K94" s="36"/>
    </row>
    <row r="95" spans="1:11" ht="19.5" customHeight="1" x14ac:dyDescent="0.25">
      <c r="A95" s="9"/>
      <c r="B95" s="36"/>
      <c r="C95" s="36"/>
      <c r="D95" s="36"/>
      <c r="E95" s="36"/>
      <c r="F95" s="36"/>
      <c r="G95" s="36"/>
      <c r="H95" s="36"/>
      <c r="I95" s="36"/>
      <c r="J95" s="36"/>
      <c r="K95" s="36"/>
    </row>
    <row r="96" spans="1:11" ht="19.5" customHeight="1" x14ac:dyDescent="0.25">
      <c r="A96" s="9"/>
      <c r="B96" s="36"/>
      <c r="C96" s="36"/>
      <c r="D96" s="36"/>
      <c r="E96" s="36"/>
      <c r="F96" s="36"/>
      <c r="G96" s="36"/>
      <c r="H96" s="36"/>
      <c r="I96" s="36"/>
      <c r="J96" s="36"/>
      <c r="K96" s="36"/>
    </row>
    <row r="97" spans="1:11" ht="19.5" customHeight="1" x14ac:dyDescent="0.25">
      <c r="A97" s="9"/>
      <c r="B97" s="36"/>
      <c r="C97" s="36"/>
      <c r="D97" s="36"/>
      <c r="E97" s="36"/>
      <c r="F97" s="36"/>
      <c r="G97" s="36"/>
      <c r="H97" s="36"/>
      <c r="I97" s="36"/>
      <c r="J97" s="36"/>
      <c r="K97" s="36"/>
    </row>
    <row r="98" spans="1:11" ht="19.5" customHeight="1" x14ac:dyDescent="0.25">
      <c r="A98" s="9"/>
      <c r="B98" s="36"/>
      <c r="C98" s="36"/>
      <c r="D98" s="36"/>
      <c r="E98" s="36"/>
      <c r="F98" s="36"/>
      <c r="G98" s="36"/>
      <c r="H98" s="36"/>
      <c r="I98" s="36"/>
      <c r="J98" s="36"/>
      <c r="K98" s="36"/>
    </row>
    <row r="99" spans="1:11" ht="19.5" customHeight="1" x14ac:dyDescent="0.25">
      <c r="A99" s="9"/>
      <c r="B99" s="36"/>
      <c r="C99" s="36"/>
      <c r="D99" s="36"/>
      <c r="E99" s="36"/>
      <c r="F99" s="36"/>
      <c r="G99" s="36"/>
      <c r="H99" s="36"/>
      <c r="I99" s="36"/>
      <c r="J99" s="36"/>
      <c r="K99" s="36"/>
    </row>
    <row r="100" spans="1:11" ht="19.5" customHeight="1" x14ac:dyDescent="0.25">
      <c r="A100" s="9"/>
      <c r="B100" s="36"/>
      <c r="C100" s="36"/>
      <c r="D100" s="36"/>
      <c r="E100" s="36"/>
      <c r="F100" s="36"/>
      <c r="G100" s="36"/>
      <c r="H100" s="36"/>
      <c r="I100" s="36"/>
      <c r="J100" s="36"/>
      <c r="K100" s="36"/>
    </row>
    <row r="101" spans="1:11" ht="19.5" customHeight="1" x14ac:dyDescent="0.25">
      <c r="A101" s="9"/>
      <c r="B101" s="36"/>
      <c r="C101" s="36"/>
      <c r="D101" s="36"/>
      <c r="E101" s="36"/>
      <c r="F101" s="36"/>
      <c r="G101" s="36"/>
      <c r="H101" s="36"/>
      <c r="I101" s="36"/>
      <c r="J101" s="36"/>
      <c r="K101" s="36"/>
    </row>
    <row r="102" spans="1:11" ht="19.5" customHeight="1" x14ac:dyDescent="0.25">
      <c r="A102" s="9"/>
      <c r="B102" s="36"/>
      <c r="C102" s="36"/>
      <c r="D102" s="36"/>
      <c r="E102" s="36"/>
      <c r="F102" s="36"/>
      <c r="G102" s="36"/>
      <c r="H102" s="36"/>
      <c r="I102" s="36"/>
      <c r="J102" s="36"/>
      <c r="K102" s="36"/>
    </row>
    <row r="103" spans="1:11" ht="19.5" customHeight="1" x14ac:dyDescent="0.25">
      <c r="A103" s="9"/>
      <c r="B103" s="36"/>
      <c r="C103" s="36"/>
      <c r="D103" s="36"/>
      <c r="E103" s="36"/>
      <c r="F103" s="36"/>
      <c r="G103" s="36"/>
      <c r="H103" s="36"/>
      <c r="I103" s="36"/>
      <c r="J103" s="36"/>
      <c r="K103" s="36"/>
    </row>
    <row r="104" spans="1:11" ht="19.5" customHeight="1" x14ac:dyDescent="0.25">
      <c r="A104" s="9"/>
      <c r="B104" s="36"/>
      <c r="C104" s="36"/>
      <c r="D104" s="36"/>
      <c r="E104" s="36"/>
      <c r="F104" s="36"/>
      <c r="G104" s="36"/>
      <c r="H104" s="36"/>
      <c r="I104" s="36"/>
      <c r="J104" s="36"/>
      <c r="K104" s="36"/>
    </row>
    <row r="105" spans="1:11" ht="19.5" customHeight="1" x14ac:dyDescent="0.25">
      <c r="A105" s="9"/>
      <c r="B105" s="36"/>
      <c r="C105" s="36"/>
      <c r="D105" s="36"/>
      <c r="E105" s="36"/>
      <c r="F105" s="36"/>
      <c r="G105" s="36"/>
      <c r="H105" s="36"/>
      <c r="I105" s="36"/>
      <c r="J105" s="36"/>
      <c r="K105" s="36"/>
    </row>
    <row r="106" spans="1:11" ht="19.5" customHeight="1" x14ac:dyDescent="0.25">
      <c r="A106" s="9"/>
      <c r="B106" s="36"/>
      <c r="C106" s="36"/>
      <c r="D106" s="36"/>
      <c r="E106" s="36"/>
      <c r="F106" s="36"/>
      <c r="G106" s="36"/>
      <c r="H106" s="36"/>
      <c r="I106" s="36"/>
      <c r="J106" s="36"/>
      <c r="K106" s="36"/>
    </row>
    <row r="107" spans="1:11" ht="19.5" customHeight="1" x14ac:dyDescent="0.25">
      <c r="A107" s="9"/>
      <c r="B107" s="36"/>
      <c r="C107" s="36"/>
      <c r="D107" s="36"/>
      <c r="E107" s="36"/>
      <c r="F107" s="36"/>
      <c r="G107" s="36"/>
      <c r="H107" s="36"/>
      <c r="I107" s="36"/>
      <c r="J107" s="36"/>
      <c r="K107" s="36"/>
    </row>
    <row r="108" spans="1:11" ht="19.5" customHeight="1" x14ac:dyDescent="0.25">
      <c r="A108" s="9"/>
      <c r="B108" s="36"/>
      <c r="C108" s="36"/>
      <c r="D108" s="36"/>
      <c r="E108" s="36"/>
      <c r="F108" s="36"/>
      <c r="G108" s="36"/>
      <c r="H108" s="36"/>
      <c r="I108" s="36"/>
      <c r="J108" s="36"/>
      <c r="K108" s="36"/>
    </row>
    <row r="109" spans="1:11" ht="19.5" customHeight="1" x14ac:dyDescent="0.25">
      <c r="A109" s="9"/>
      <c r="B109" s="36"/>
      <c r="C109" s="36"/>
      <c r="D109" s="36"/>
      <c r="E109" s="36"/>
      <c r="F109" s="36"/>
      <c r="G109" s="36"/>
      <c r="H109" s="36"/>
      <c r="I109" s="36"/>
      <c r="J109" s="36"/>
      <c r="K109" s="36"/>
    </row>
    <row r="110" spans="1:11" ht="19.5" customHeight="1" x14ac:dyDescent="0.25">
      <c r="A110" s="9"/>
      <c r="B110" s="36"/>
      <c r="C110" s="36"/>
      <c r="D110" s="36"/>
      <c r="E110" s="36"/>
      <c r="F110" s="36"/>
      <c r="G110" s="36"/>
      <c r="H110" s="36"/>
      <c r="I110" s="36"/>
      <c r="J110" s="36"/>
      <c r="K110" s="36"/>
    </row>
    <row r="111" spans="1:11" ht="19.5" customHeight="1" x14ac:dyDescent="0.25">
      <c r="A111" s="9"/>
      <c r="B111" s="36"/>
      <c r="C111" s="36"/>
      <c r="D111" s="36"/>
      <c r="E111" s="36"/>
      <c r="F111" s="36"/>
      <c r="G111" s="36"/>
      <c r="H111" s="36"/>
      <c r="I111" s="36"/>
      <c r="J111" s="36"/>
      <c r="K111" s="36"/>
    </row>
    <row r="112" spans="1:11" ht="19.5" customHeight="1" x14ac:dyDescent="0.25">
      <c r="A112" s="9"/>
      <c r="B112" s="36"/>
      <c r="C112" s="36"/>
      <c r="D112" s="36"/>
      <c r="E112" s="36"/>
      <c r="F112" s="36"/>
      <c r="G112" s="36"/>
      <c r="H112" s="36"/>
      <c r="I112" s="36"/>
      <c r="J112" s="36"/>
      <c r="K112" s="36"/>
    </row>
    <row r="113" spans="1:11" ht="19.5" customHeight="1" x14ac:dyDescent="0.25">
      <c r="A113" s="9"/>
      <c r="B113" s="36"/>
      <c r="C113" s="36"/>
      <c r="D113" s="36"/>
      <c r="E113" s="36"/>
      <c r="F113" s="36"/>
      <c r="G113" s="36"/>
      <c r="H113" s="36"/>
      <c r="I113" s="36"/>
      <c r="J113" s="36"/>
      <c r="K113" s="36"/>
    </row>
    <row r="114" spans="1:11" ht="19.5" customHeight="1" x14ac:dyDescent="0.25">
      <c r="A114" s="9"/>
      <c r="B114" s="36"/>
      <c r="C114" s="36"/>
      <c r="D114" s="36"/>
      <c r="E114" s="36"/>
      <c r="F114" s="36"/>
      <c r="G114" s="36"/>
      <c r="H114" s="36"/>
      <c r="I114" s="36"/>
      <c r="J114" s="36"/>
      <c r="K114" s="36"/>
    </row>
    <row r="115" spans="1:11" ht="19.5" customHeight="1" x14ac:dyDescent="0.25">
      <c r="A115" s="9"/>
      <c r="B115" s="36"/>
      <c r="C115" s="36"/>
      <c r="D115" s="36"/>
      <c r="E115" s="36"/>
      <c r="F115" s="36"/>
      <c r="G115" s="36"/>
      <c r="H115" s="36"/>
      <c r="I115" s="36"/>
      <c r="J115" s="36"/>
      <c r="K115" s="36"/>
    </row>
    <row r="116" spans="1:11" ht="19.5" customHeight="1" x14ac:dyDescent="0.25">
      <c r="A116" s="9"/>
      <c r="B116" s="36"/>
      <c r="C116" s="36"/>
      <c r="D116" s="36"/>
      <c r="E116" s="36"/>
      <c r="F116" s="36"/>
      <c r="G116" s="36"/>
      <c r="H116" s="36"/>
      <c r="I116" s="36"/>
      <c r="J116" s="36"/>
      <c r="K116" s="36"/>
    </row>
    <row r="117" spans="1:11" ht="19.5" customHeight="1" x14ac:dyDescent="0.25">
      <c r="A117" s="9"/>
      <c r="B117" s="36"/>
      <c r="C117" s="36"/>
      <c r="D117" s="36"/>
      <c r="E117" s="36"/>
      <c r="F117" s="36"/>
      <c r="G117" s="36"/>
      <c r="H117" s="36"/>
      <c r="I117" s="36"/>
      <c r="J117" s="36"/>
      <c r="K117" s="36"/>
    </row>
    <row r="118" spans="1:11" ht="19.5" customHeight="1" x14ac:dyDescent="0.25">
      <c r="A118" s="9"/>
      <c r="B118" s="36"/>
      <c r="C118" s="36"/>
      <c r="D118" s="36"/>
      <c r="E118" s="36"/>
      <c r="F118" s="36"/>
      <c r="G118" s="36"/>
      <c r="H118" s="36"/>
      <c r="I118" s="36"/>
      <c r="J118" s="36"/>
      <c r="K118" s="36"/>
    </row>
    <row r="119" spans="1:11" ht="19.5" customHeight="1" x14ac:dyDescent="0.25">
      <c r="A119" s="9"/>
      <c r="B119" s="36"/>
      <c r="C119" s="36"/>
      <c r="D119" s="36"/>
      <c r="E119" s="36"/>
      <c r="F119" s="36"/>
      <c r="G119" s="36"/>
      <c r="H119" s="36"/>
      <c r="I119" s="36"/>
      <c r="J119" s="36"/>
      <c r="K119" s="36"/>
    </row>
    <row r="120" spans="1:11" ht="19.5" customHeight="1" x14ac:dyDescent="0.25">
      <c r="A120" s="9"/>
      <c r="B120" s="36"/>
      <c r="C120" s="36"/>
      <c r="D120" s="36"/>
      <c r="E120" s="36"/>
      <c r="F120" s="36"/>
      <c r="G120" s="36"/>
      <c r="H120" s="36"/>
      <c r="I120" s="36"/>
      <c r="J120" s="36"/>
      <c r="K120" s="36"/>
    </row>
    <row r="121" spans="1:11" ht="19.5" customHeight="1" x14ac:dyDescent="0.25">
      <c r="A121" s="9"/>
      <c r="B121" s="36"/>
      <c r="C121" s="36"/>
      <c r="D121" s="36"/>
      <c r="E121" s="36"/>
      <c r="F121" s="36"/>
      <c r="G121" s="36"/>
      <c r="H121" s="36"/>
      <c r="I121" s="36"/>
      <c r="J121" s="36"/>
      <c r="K121" s="36"/>
    </row>
    <row r="122" spans="1:11" ht="19.5" customHeight="1" x14ac:dyDescent="0.25">
      <c r="A122" s="9"/>
      <c r="B122" s="36"/>
      <c r="C122" s="36"/>
      <c r="D122" s="36"/>
      <c r="E122" s="36"/>
      <c r="F122" s="36"/>
      <c r="G122" s="36"/>
      <c r="H122" s="36"/>
      <c r="I122" s="36"/>
      <c r="J122" s="36"/>
      <c r="K122" s="36"/>
    </row>
    <row r="123" spans="1:11" ht="19.5" customHeight="1" x14ac:dyDescent="0.25">
      <c r="A123" s="9"/>
      <c r="B123" s="36"/>
      <c r="C123" s="36"/>
      <c r="D123" s="36"/>
      <c r="E123" s="36"/>
      <c r="F123" s="36"/>
      <c r="G123" s="36"/>
      <c r="H123" s="36"/>
      <c r="I123" s="36"/>
      <c r="J123" s="36"/>
      <c r="K123" s="36"/>
    </row>
    <row r="124" spans="1:11" ht="19.5" customHeight="1" x14ac:dyDescent="0.25">
      <c r="A124" s="9"/>
      <c r="B124" s="36"/>
      <c r="C124" s="36"/>
      <c r="D124" s="36"/>
      <c r="E124" s="36"/>
      <c r="F124" s="36"/>
      <c r="G124" s="36"/>
      <c r="H124" s="36"/>
      <c r="I124" s="36"/>
      <c r="J124" s="36"/>
      <c r="K124" s="36"/>
    </row>
    <row r="125" spans="1:11" ht="19.5" customHeight="1" x14ac:dyDescent="0.25">
      <c r="A125" s="9"/>
      <c r="B125" s="36"/>
      <c r="C125" s="36"/>
      <c r="D125" s="36"/>
      <c r="E125" s="36"/>
      <c r="F125" s="36"/>
      <c r="G125" s="36"/>
      <c r="H125" s="36"/>
      <c r="I125" s="36"/>
      <c r="J125" s="36"/>
      <c r="K125" s="36"/>
    </row>
    <row r="126" spans="1:11" ht="19.5" customHeight="1" x14ac:dyDescent="0.25">
      <c r="A126" s="9"/>
      <c r="B126" s="36"/>
      <c r="C126" s="36"/>
      <c r="D126" s="36"/>
      <c r="E126" s="36"/>
      <c r="F126" s="36"/>
      <c r="G126" s="36"/>
      <c r="H126" s="36"/>
      <c r="I126" s="36"/>
      <c r="J126" s="36"/>
      <c r="K126" s="36"/>
    </row>
    <row r="127" spans="1:11" ht="19.5" customHeight="1" x14ac:dyDescent="0.25">
      <c r="A127" s="9"/>
      <c r="B127" s="36"/>
      <c r="C127" s="36"/>
      <c r="D127" s="36"/>
      <c r="E127" s="36"/>
      <c r="F127" s="36"/>
      <c r="G127" s="36"/>
      <c r="H127" s="36"/>
      <c r="I127" s="36"/>
      <c r="J127" s="36"/>
      <c r="K127" s="36"/>
    </row>
    <row r="128" spans="1:11" ht="19.5" customHeight="1" x14ac:dyDescent="0.25">
      <c r="A128" s="9"/>
      <c r="B128" s="36"/>
      <c r="C128" s="36"/>
      <c r="D128" s="36"/>
      <c r="E128" s="36"/>
      <c r="F128" s="36"/>
      <c r="G128" s="36"/>
      <c r="H128" s="36"/>
      <c r="I128" s="36"/>
      <c r="J128" s="36"/>
      <c r="K128" s="36"/>
    </row>
    <row r="129" spans="1:11" ht="19.5" customHeight="1" x14ac:dyDescent="0.25">
      <c r="A129" s="9"/>
      <c r="B129" s="36"/>
      <c r="C129" s="36"/>
      <c r="D129" s="36"/>
      <c r="E129" s="36"/>
      <c r="F129" s="36"/>
      <c r="G129" s="36"/>
      <c r="H129" s="36"/>
      <c r="I129" s="36"/>
      <c r="J129" s="36"/>
      <c r="K129" s="36"/>
    </row>
    <row r="130" spans="1:11" ht="19.5" customHeight="1" x14ac:dyDescent="0.25">
      <c r="A130" s="9"/>
      <c r="B130" s="36"/>
      <c r="C130" s="36"/>
      <c r="D130" s="36"/>
      <c r="E130" s="36"/>
      <c r="F130" s="36"/>
      <c r="G130" s="36"/>
      <c r="H130" s="36"/>
      <c r="I130" s="36"/>
      <c r="J130" s="36"/>
      <c r="K130" s="36"/>
    </row>
    <row r="131" spans="1:11" ht="19.5" customHeight="1" x14ac:dyDescent="0.25">
      <c r="A131" s="9"/>
      <c r="B131" s="36"/>
      <c r="C131" s="36"/>
      <c r="D131" s="36"/>
      <c r="E131" s="36"/>
      <c r="F131" s="36"/>
      <c r="G131" s="36"/>
      <c r="H131" s="36"/>
      <c r="I131" s="36"/>
      <c r="J131" s="36"/>
      <c r="K131" s="36"/>
    </row>
    <row r="132" spans="1:11" ht="19.5" customHeight="1" x14ac:dyDescent="0.25">
      <c r="A132" s="9"/>
      <c r="B132" s="36"/>
      <c r="C132" s="36"/>
      <c r="D132" s="36"/>
      <c r="E132" s="36"/>
      <c r="F132" s="36"/>
      <c r="G132" s="36"/>
      <c r="H132" s="36"/>
      <c r="I132" s="36"/>
      <c r="J132" s="36"/>
      <c r="K132" s="36"/>
    </row>
    <row r="133" spans="1:11" ht="19.5" customHeight="1" x14ac:dyDescent="0.25">
      <c r="A133" s="9"/>
      <c r="B133" s="36"/>
      <c r="C133" s="36"/>
      <c r="D133" s="36"/>
      <c r="E133" s="36"/>
      <c r="F133" s="36"/>
      <c r="G133" s="36"/>
      <c r="H133" s="36"/>
      <c r="I133" s="36"/>
      <c r="J133" s="36"/>
      <c r="K133" s="36"/>
    </row>
    <row r="134" spans="1:11" ht="19.5" customHeight="1" x14ac:dyDescent="0.25">
      <c r="A134" s="9"/>
      <c r="B134" s="36"/>
      <c r="C134" s="36"/>
      <c r="D134" s="36"/>
      <c r="E134" s="36"/>
      <c r="F134" s="36"/>
      <c r="G134" s="36"/>
      <c r="H134" s="36"/>
      <c r="I134" s="36"/>
      <c r="J134" s="36"/>
      <c r="K134" s="36"/>
    </row>
    <row r="135" spans="1:11" ht="19.5" customHeight="1" x14ac:dyDescent="0.25">
      <c r="A135" s="9"/>
      <c r="B135" s="36"/>
      <c r="C135" s="36"/>
      <c r="D135" s="36"/>
      <c r="E135" s="36"/>
      <c r="F135" s="36"/>
      <c r="G135" s="36"/>
      <c r="H135" s="36"/>
      <c r="I135" s="36"/>
      <c r="J135" s="36"/>
      <c r="K135" s="36"/>
    </row>
    <row r="136" spans="1:11" ht="19.5" customHeight="1" x14ac:dyDescent="0.25">
      <c r="A136" s="9"/>
      <c r="B136" s="36"/>
      <c r="C136" s="36"/>
      <c r="D136" s="36"/>
      <c r="E136" s="36"/>
      <c r="F136" s="36"/>
      <c r="G136" s="36"/>
      <c r="H136" s="36"/>
      <c r="I136" s="36"/>
      <c r="J136" s="36"/>
      <c r="K136" s="36"/>
    </row>
    <row r="137" spans="1:11" ht="19.5" customHeight="1" x14ac:dyDescent="0.25">
      <c r="A137" s="9"/>
      <c r="B137" s="36"/>
      <c r="C137" s="36"/>
      <c r="D137" s="36"/>
      <c r="E137" s="36"/>
      <c r="F137" s="36"/>
      <c r="G137" s="36"/>
      <c r="H137" s="36"/>
      <c r="I137" s="36"/>
      <c r="J137" s="36"/>
      <c r="K137" s="36"/>
    </row>
    <row r="138" spans="1:11" ht="19.5" customHeight="1" x14ac:dyDescent="0.25">
      <c r="A138" s="9"/>
      <c r="B138" s="36"/>
      <c r="C138" s="36"/>
      <c r="D138" s="36"/>
      <c r="E138" s="36"/>
      <c r="F138" s="36"/>
      <c r="G138" s="36"/>
      <c r="H138" s="36"/>
      <c r="I138" s="36"/>
      <c r="J138" s="36"/>
      <c r="K138" s="36"/>
    </row>
    <row r="139" spans="1:11" ht="19.5" customHeight="1" x14ac:dyDescent="0.25">
      <c r="A139" s="9"/>
      <c r="B139" s="36"/>
      <c r="C139" s="36"/>
      <c r="D139" s="36"/>
      <c r="E139" s="36"/>
      <c r="F139" s="36"/>
      <c r="G139" s="36"/>
      <c r="H139" s="36"/>
      <c r="I139" s="36"/>
      <c r="J139" s="36"/>
      <c r="K139" s="36"/>
    </row>
    <row r="140" spans="1:11" ht="19.5" customHeight="1" x14ac:dyDescent="0.25">
      <c r="A140" s="9"/>
      <c r="B140" s="36"/>
      <c r="C140" s="36"/>
      <c r="D140" s="36"/>
      <c r="E140" s="36"/>
      <c r="F140" s="36"/>
      <c r="G140" s="36"/>
      <c r="H140" s="36"/>
      <c r="I140" s="36"/>
      <c r="J140" s="36"/>
      <c r="K140" s="36"/>
    </row>
    <row r="141" spans="1:11" ht="19.5" customHeight="1" x14ac:dyDescent="0.25">
      <c r="A141" s="9"/>
      <c r="B141" s="36"/>
      <c r="C141" s="36"/>
      <c r="D141" s="36"/>
      <c r="E141" s="36"/>
      <c r="F141" s="36"/>
      <c r="G141" s="36"/>
      <c r="H141" s="36"/>
      <c r="I141" s="36"/>
      <c r="J141" s="36"/>
      <c r="K141" s="36"/>
    </row>
    <row r="142" spans="1:11" ht="19.5" customHeight="1" x14ac:dyDescent="0.25">
      <c r="A142" s="9"/>
      <c r="B142" s="36"/>
      <c r="C142" s="36"/>
      <c r="D142" s="36"/>
      <c r="E142" s="36"/>
      <c r="F142" s="36"/>
      <c r="G142" s="36"/>
      <c r="H142" s="36"/>
      <c r="I142" s="36"/>
      <c r="J142" s="36"/>
      <c r="K142" s="36"/>
    </row>
    <row r="143" spans="1:11" ht="19.5" customHeight="1" x14ac:dyDescent="0.25">
      <c r="A143" s="9"/>
      <c r="B143" s="36"/>
      <c r="C143" s="36"/>
      <c r="D143" s="36"/>
      <c r="E143" s="36"/>
      <c r="F143" s="36"/>
      <c r="G143" s="36"/>
      <c r="H143" s="36"/>
      <c r="I143" s="36"/>
      <c r="J143" s="36"/>
      <c r="K143" s="36"/>
    </row>
    <row r="144" spans="1:11" ht="19.5" customHeight="1" x14ac:dyDescent="0.25">
      <c r="A144" s="9"/>
      <c r="B144" s="36"/>
      <c r="C144" s="36"/>
      <c r="D144" s="36"/>
      <c r="E144" s="36"/>
      <c r="F144" s="36"/>
      <c r="G144" s="36"/>
      <c r="H144" s="36"/>
      <c r="I144" s="36"/>
      <c r="J144" s="36"/>
      <c r="K144" s="36"/>
    </row>
    <row r="145" spans="1:11" ht="19.5" customHeight="1" x14ac:dyDescent="0.25">
      <c r="A145" s="9"/>
      <c r="B145" s="36"/>
      <c r="C145" s="36"/>
      <c r="D145" s="36"/>
      <c r="E145" s="36"/>
      <c r="F145" s="36"/>
      <c r="G145" s="36"/>
      <c r="H145" s="36"/>
      <c r="I145" s="36"/>
      <c r="J145" s="36"/>
      <c r="K145" s="36"/>
    </row>
    <row r="146" spans="1:11" ht="19.5" customHeight="1" x14ac:dyDescent="0.25">
      <c r="A146" s="9"/>
      <c r="B146" s="36"/>
      <c r="C146" s="36"/>
      <c r="D146" s="36"/>
      <c r="E146" s="36"/>
      <c r="F146" s="36"/>
      <c r="G146" s="36"/>
      <c r="H146" s="36"/>
      <c r="I146" s="36"/>
      <c r="J146" s="36"/>
      <c r="K146" s="36"/>
    </row>
    <row r="147" spans="1:11" ht="19.5" customHeight="1" x14ac:dyDescent="0.25">
      <c r="A147" s="9"/>
      <c r="B147" s="36"/>
      <c r="C147" s="36"/>
      <c r="D147" s="36"/>
      <c r="E147" s="36"/>
      <c r="F147" s="36"/>
      <c r="G147" s="36"/>
      <c r="H147" s="36"/>
      <c r="I147" s="36"/>
      <c r="J147" s="36"/>
      <c r="K147" s="36"/>
    </row>
    <row r="148" spans="1:11" ht="19.5" customHeight="1" x14ac:dyDescent="0.25">
      <c r="A148" s="9"/>
      <c r="B148" s="36"/>
      <c r="C148" s="36"/>
      <c r="D148" s="36"/>
      <c r="E148" s="36"/>
      <c r="F148" s="36"/>
      <c r="G148" s="36"/>
      <c r="H148" s="36"/>
      <c r="I148" s="36"/>
      <c r="J148" s="36"/>
      <c r="K148" s="36"/>
    </row>
    <row r="149" spans="1:11" ht="19.5" customHeight="1" x14ac:dyDescent="0.25">
      <c r="A149" s="9"/>
      <c r="B149" s="36"/>
      <c r="C149" s="36"/>
      <c r="D149" s="36"/>
      <c r="E149" s="36"/>
      <c r="F149" s="36"/>
      <c r="G149" s="36"/>
      <c r="H149" s="36"/>
      <c r="I149" s="36"/>
      <c r="J149" s="36"/>
      <c r="K149" s="36"/>
    </row>
    <row r="150" spans="1:11" ht="19.5" customHeight="1" x14ac:dyDescent="0.25">
      <c r="A150" s="9"/>
      <c r="B150" s="36"/>
      <c r="C150" s="36"/>
      <c r="D150" s="36"/>
      <c r="E150" s="36"/>
      <c r="F150" s="36"/>
      <c r="G150" s="36"/>
      <c r="H150" s="36"/>
      <c r="I150" s="36"/>
      <c r="J150" s="36"/>
      <c r="K150" s="36"/>
    </row>
    <row r="151" spans="1:11" ht="19.5" customHeight="1" x14ac:dyDescent="0.25">
      <c r="A151" s="9"/>
      <c r="B151" s="36"/>
      <c r="C151" s="36"/>
      <c r="D151" s="36"/>
      <c r="E151" s="36"/>
      <c r="F151" s="36"/>
      <c r="G151" s="36"/>
      <c r="H151" s="36"/>
      <c r="I151" s="36"/>
      <c r="J151" s="36"/>
      <c r="K151" s="36"/>
    </row>
    <row r="152" spans="1:11" ht="19.5" customHeight="1" x14ac:dyDescent="0.25">
      <c r="A152" s="9"/>
      <c r="B152" s="36"/>
      <c r="C152" s="36"/>
      <c r="D152" s="36"/>
      <c r="E152" s="36"/>
      <c r="F152" s="36"/>
      <c r="G152" s="36"/>
      <c r="H152" s="36"/>
      <c r="I152" s="36"/>
      <c r="J152" s="36"/>
      <c r="K152" s="36"/>
    </row>
    <row r="153" spans="1:11" ht="19.5" customHeight="1" x14ac:dyDescent="0.25">
      <c r="A153" s="9"/>
      <c r="B153" s="36"/>
      <c r="C153" s="36"/>
      <c r="D153" s="36"/>
      <c r="E153" s="36"/>
      <c r="F153" s="36"/>
      <c r="G153" s="36"/>
      <c r="H153" s="36"/>
      <c r="I153" s="36"/>
      <c r="J153" s="36"/>
      <c r="K153" s="36"/>
    </row>
    <row r="154" spans="1:11" ht="19.5" customHeight="1" x14ac:dyDescent="0.25">
      <c r="A154" s="9"/>
      <c r="B154" s="36"/>
      <c r="C154" s="36"/>
      <c r="D154" s="36"/>
      <c r="E154" s="36"/>
      <c r="F154" s="36"/>
      <c r="G154" s="36"/>
      <c r="H154" s="36"/>
      <c r="I154" s="36"/>
      <c r="J154" s="36"/>
      <c r="K154" s="36"/>
    </row>
    <row r="155" spans="1:11" ht="19.5" customHeight="1" x14ac:dyDescent="0.25">
      <c r="A155" s="9"/>
      <c r="B155" s="36"/>
      <c r="C155" s="36"/>
      <c r="D155" s="36"/>
      <c r="E155" s="36"/>
      <c r="F155" s="36"/>
      <c r="G155" s="36"/>
      <c r="H155" s="36"/>
      <c r="I155" s="36"/>
      <c r="J155" s="36"/>
      <c r="K155" s="36"/>
    </row>
    <row r="156" spans="1:11" ht="19.5" customHeight="1" x14ac:dyDescent="0.25">
      <c r="A156" s="9"/>
      <c r="B156" s="36"/>
      <c r="C156" s="36"/>
      <c r="D156" s="36"/>
      <c r="E156" s="36"/>
      <c r="F156" s="36"/>
      <c r="G156" s="36"/>
      <c r="H156" s="36"/>
      <c r="I156" s="36"/>
      <c r="J156" s="36"/>
      <c r="K156" s="36"/>
    </row>
    <row r="157" spans="1:11" ht="19.5" customHeight="1" x14ac:dyDescent="0.25">
      <c r="A157" s="9"/>
      <c r="B157" s="36"/>
      <c r="C157" s="36"/>
      <c r="D157" s="36"/>
      <c r="E157" s="36"/>
      <c r="F157" s="36"/>
      <c r="G157" s="36"/>
      <c r="H157" s="36"/>
      <c r="I157" s="36"/>
      <c r="J157" s="36"/>
      <c r="K157" s="36"/>
    </row>
    <row r="158" spans="1:11" ht="19.5" customHeight="1" x14ac:dyDescent="0.25">
      <c r="A158" s="9"/>
      <c r="B158" s="36"/>
      <c r="C158" s="36"/>
      <c r="D158" s="36"/>
      <c r="E158" s="36"/>
      <c r="F158" s="36"/>
      <c r="G158" s="36"/>
      <c r="H158" s="36"/>
      <c r="I158" s="36"/>
      <c r="J158" s="36"/>
      <c r="K158" s="36"/>
    </row>
    <row r="159" spans="1:11" ht="19.5" customHeight="1" x14ac:dyDescent="0.25">
      <c r="A159" s="9"/>
      <c r="B159" s="36"/>
      <c r="C159" s="36"/>
      <c r="D159" s="36"/>
      <c r="E159" s="36"/>
      <c r="F159" s="36"/>
      <c r="G159" s="36"/>
      <c r="H159" s="36"/>
      <c r="I159" s="36"/>
      <c r="J159" s="36"/>
      <c r="K159" s="36"/>
    </row>
    <row r="160" spans="1:11" ht="19.5" customHeight="1" x14ac:dyDescent="0.25">
      <c r="A160" s="9"/>
      <c r="B160" s="36"/>
      <c r="C160" s="36"/>
      <c r="D160" s="36"/>
      <c r="E160" s="36"/>
      <c r="F160" s="36"/>
      <c r="G160" s="36"/>
      <c r="H160" s="36"/>
      <c r="I160" s="36"/>
      <c r="J160" s="36"/>
      <c r="K160" s="36"/>
    </row>
    <row r="161" spans="1:11" ht="19.5" customHeight="1" x14ac:dyDescent="0.25">
      <c r="A161" s="9"/>
      <c r="B161" s="36"/>
      <c r="C161" s="36"/>
      <c r="D161" s="36"/>
      <c r="E161" s="36"/>
      <c r="F161" s="36"/>
      <c r="G161" s="36"/>
      <c r="H161" s="36"/>
      <c r="I161" s="36"/>
      <c r="J161" s="36"/>
      <c r="K161" s="36"/>
    </row>
    <row r="162" spans="1:11" ht="19.5" customHeight="1" x14ac:dyDescent="0.25">
      <c r="A162" s="9"/>
      <c r="B162" s="36"/>
      <c r="C162" s="36"/>
      <c r="D162" s="36"/>
      <c r="E162" s="36"/>
      <c r="F162" s="36"/>
      <c r="G162" s="36"/>
      <c r="H162" s="36"/>
      <c r="I162" s="36"/>
      <c r="J162" s="36"/>
      <c r="K162" s="36"/>
    </row>
    <row r="163" spans="1:11" ht="19.5" customHeight="1" x14ac:dyDescent="0.25">
      <c r="A163" s="9"/>
      <c r="B163" s="36"/>
      <c r="C163" s="36"/>
      <c r="D163" s="36"/>
      <c r="E163" s="36"/>
      <c r="F163" s="36"/>
      <c r="G163" s="36"/>
      <c r="H163" s="36"/>
      <c r="I163" s="36"/>
      <c r="J163" s="36"/>
      <c r="K163" s="36"/>
    </row>
    <row r="164" spans="1:11" ht="19.5" customHeight="1" x14ac:dyDescent="0.25">
      <c r="A164" s="9"/>
      <c r="B164" s="36"/>
      <c r="C164" s="36"/>
      <c r="D164" s="36"/>
      <c r="E164" s="36"/>
      <c r="F164" s="36"/>
      <c r="G164" s="36"/>
      <c r="H164" s="36"/>
      <c r="I164" s="36"/>
      <c r="J164" s="36"/>
      <c r="K164" s="36"/>
    </row>
    <row r="165" spans="1:11" ht="19.5" customHeight="1" x14ac:dyDescent="0.25">
      <c r="A165" s="9">
        <v>44910.925737395832</v>
      </c>
      <c r="B165" s="36">
        <v>54686</v>
      </c>
      <c r="C165" s="10" t="s">
        <v>29</v>
      </c>
      <c r="D165" s="10" t="s">
        <v>29</v>
      </c>
      <c r="E165" s="36">
        <v>856</v>
      </c>
      <c r="F165" s="36"/>
      <c r="G165" s="36"/>
      <c r="H165" s="36"/>
      <c r="I165" s="36"/>
      <c r="J165" s="36"/>
      <c r="K165" s="36"/>
    </row>
    <row r="166" spans="1:11" ht="19.5" customHeight="1" x14ac:dyDescent="0.25">
      <c r="A166" s="9">
        <v>44910.925780451391</v>
      </c>
      <c r="B166" s="36">
        <v>1</v>
      </c>
      <c r="C166" s="10"/>
      <c r="D166" s="10"/>
      <c r="E166" s="36"/>
      <c r="F166" s="36"/>
      <c r="G166" s="36"/>
      <c r="H166" s="36"/>
      <c r="I166" s="36"/>
      <c r="J166" s="36"/>
      <c r="K166" s="36"/>
    </row>
    <row r="167" spans="1:11" ht="19.5" customHeight="1" x14ac:dyDescent="0.25">
      <c r="A167" s="9">
        <v>44910.925785370368</v>
      </c>
      <c r="B167" s="36">
        <v>4059</v>
      </c>
      <c r="C167" s="10">
        <v>18</v>
      </c>
      <c r="D167" s="10">
        <v>63</v>
      </c>
      <c r="E167" s="36">
        <v>81</v>
      </c>
      <c r="F167" s="36"/>
      <c r="G167" s="36"/>
      <c r="H167" s="36"/>
      <c r="I167" s="36"/>
      <c r="J167" s="36"/>
      <c r="K167" s="36"/>
    </row>
    <row r="168" spans="1:11" ht="19.5" customHeight="1" x14ac:dyDescent="0.25">
      <c r="A168" s="9">
        <v>44910.925790069443</v>
      </c>
      <c r="B168" s="36">
        <v>322</v>
      </c>
      <c r="C168" s="10">
        <v>17</v>
      </c>
      <c r="D168" s="10">
        <v>68</v>
      </c>
      <c r="E168" s="36">
        <v>85</v>
      </c>
      <c r="F168" s="36"/>
      <c r="G168" s="36"/>
      <c r="H168" s="36"/>
      <c r="I168" s="36"/>
      <c r="J168" s="36"/>
      <c r="K168" s="36"/>
    </row>
    <row r="169" spans="1:11" ht="19.5" customHeight="1" x14ac:dyDescent="0.25">
      <c r="A169" s="9">
        <v>44910.925794664348</v>
      </c>
      <c r="B169" s="36">
        <v>314</v>
      </c>
      <c r="C169" s="10">
        <v>17</v>
      </c>
      <c r="D169" s="10">
        <v>65</v>
      </c>
      <c r="E169" s="36">
        <v>82</v>
      </c>
      <c r="F169" s="36"/>
      <c r="G169" s="36"/>
      <c r="H169" s="36"/>
      <c r="I169" s="36"/>
      <c r="J169" s="36"/>
      <c r="K169" s="36"/>
    </row>
    <row r="170" spans="1:11" ht="19.5" customHeight="1" x14ac:dyDescent="0.25">
      <c r="A170" s="9">
        <v>44910.925799594908</v>
      </c>
      <c r="B170" s="36">
        <v>342</v>
      </c>
      <c r="C170" s="10">
        <v>17</v>
      </c>
      <c r="D170" s="10">
        <v>65</v>
      </c>
      <c r="E170" s="36">
        <v>82</v>
      </c>
      <c r="F170" s="36"/>
      <c r="G170" s="36"/>
      <c r="H170" s="36"/>
      <c r="I170" s="36"/>
      <c r="J170" s="36"/>
      <c r="K170" s="36"/>
    </row>
    <row r="171" spans="1:11" ht="19.5" customHeight="1" x14ac:dyDescent="0.25">
      <c r="A171" s="9">
        <v>44910.925804004626</v>
      </c>
      <c r="B171" s="36">
        <v>298</v>
      </c>
      <c r="C171" s="10">
        <v>17</v>
      </c>
      <c r="D171" s="10">
        <v>66</v>
      </c>
      <c r="E171" s="36">
        <v>83</v>
      </c>
      <c r="F171" s="36"/>
      <c r="G171" s="36"/>
      <c r="H171" s="36"/>
      <c r="I171" s="36"/>
      <c r="J171" s="36"/>
      <c r="K171" s="36"/>
    </row>
    <row r="172" spans="1:11" ht="19.5" customHeight="1" x14ac:dyDescent="0.25">
      <c r="A172" s="9">
        <v>44910.925808645836</v>
      </c>
      <c r="B172" s="36">
        <v>318</v>
      </c>
      <c r="C172" s="10">
        <v>19</v>
      </c>
      <c r="D172" s="10">
        <v>66</v>
      </c>
      <c r="E172" s="36">
        <v>85</v>
      </c>
      <c r="F172" s="36"/>
      <c r="G172" s="36"/>
      <c r="H172" s="36"/>
      <c r="I172" s="36"/>
      <c r="J172" s="36"/>
      <c r="K172" s="36"/>
    </row>
    <row r="173" spans="1:11" ht="19.5" customHeight="1" x14ac:dyDescent="0.25">
      <c r="A173" s="9">
        <v>44910.925813194444</v>
      </c>
      <c r="B173" s="36">
        <v>313</v>
      </c>
      <c r="C173" s="10">
        <v>17</v>
      </c>
      <c r="D173" s="10">
        <v>65</v>
      </c>
      <c r="E173" s="36">
        <v>82</v>
      </c>
      <c r="F173" s="36"/>
      <c r="G173" s="36"/>
      <c r="H173" s="36"/>
      <c r="I173" s="36"/>
      <c r="J173" s="36"/>
      <c r="K173" s="36"/>
    </row>
    <row r="174" spans="1:11" ht="19.5" customHeight="1" x14ac:dyDescent="0.25">
      <c r="A174" s="9">
        <v>44910.92581789352</v>
      </c>
      <c r="B174" s="36">
        <v>321</v>
      </c>
      <c r="C174" s="10">
        <v>18</v>
      </c>
      <c r="D174" s="10">
        <v>66</v>
      </c>
      <c r="E174" s="36">
        <v>84</v>
      </c>
      <c r="F174" s="36"/>
      <c r="G174" s="36"/>
      <c r="H174" s="36"/>
      <c r="I174" s="36"/>
      <c r="J174" s="36"/>
      <c r="K174" s="36"/>
    </row>
    <row r="175" spans="1:11" ht="19.5" customHeight="1" x14ac:dyDescent="0.25">
      <c r="A175" s="9">
        <v>44910.925822592595</v>
      </c>
      <c r="B175" s="36">
        <v>318</v>
      </c>
      <c r="C175" s="10">
        <v>19</v>
      </c>
      <c r="D175" s="10">
        <v>65</v>
      </c>
      <c r="E175" s="36">
        <v>84</v>
      </c>
      <c r="F175" s="36"/>
      <c r="G175" s="36"/>
      <c r="H175" s="36"/>
      <c r="I175" s="36"/>
      <c r="J175" s="36"/>
      <c r="K175" s="36"/>
    </row>
    <row r="176" spans="1:11" ht="19.5" customHeight="1" x14ac:dyDescent="0.25">
      <c r="A176" s="9">
        <v>44910.925827280094</v>
      </c>
      <c r="B176" s="36">
        <v>319</v>
      </c>
      <c r="C176" s="10">
        <v>18</v>
      </c>
      <c r="D176" s="10">
        <v>68</v>
      </c>
      <c r="E176" s="36">
        <v>86</v>
      </c>
      <c r="F176" s="36"/>
      <c r="G176" s="36"/>
      <c r="H176" s="36"/>
      <c r="I176" s="36"/>
      <c r="J176" s="36"/>
      <c r="K176" s="36"/>
    </row>
    <row r="177" spans="1:11" ht="19.5" customHeight="1" x14ac:dyDescent="0.25">
      <c r="A177" s="9">
        <v>44910.925831875</v>
      </c>
      <c r="B177" s="36">
        <v>314</v>
      </c>
      <c r="C177" s="10">
        <v>19</v>
      </c>
      <c r="D177" s="10">
        <v>65</v>
      </c>
      <c r="E177" s="36">
        <v>84</v>
      </c>
      <c r="F177" s="36"/>
      <c r="G177" s="36"/>
      <c r="H177" s="36"/>
      <c r="I177" s="36"/>
      <c r="J177" s="36"/>
      <c r="K177" s="36"/>
    </row>
    <row r="178" spans="1:11" ht="19.5" customHeight="1" x14ac:dyDescent="0.25">
      <c r="A178" s="9">
        <v>44910.925836516202</v>
      </c>
      <c r="B178" s="36">
        <v>318</v>
      </c>
      <c r="C178" s="10">
        <v>18</v>
      </c>
      <c r="D178" s="10">
        <v>67</v>
      </c>
      <c r="E178" s="36">
        <v>85</v>
      </c>
      <c r="F178" s="36"/>
      <c r="G178" s="36"/>
      <c r="H178" s="36"/>
      <c r="I178" s="36"/>
      <c r="J178" s="36"/>
      <c r="K178" s="36"/>
    </row>
    <row r="179" spans="1:11" ht="19.5" customHeight="1" x14ac:dyDescent="0.25">
      <c r="A179" s="9">
        <v>44910.925841215278</v>
      </c>
      <c r="B179" s="36">
        <v>315</v>
      </c>
      <c r="C179" s="10">
        <v>20</v>
      </c>
      <c r="D179" s="10">
        <v>68</v>
      </c>
      <c r="E179" s="36">
        <v>88</v>
      </c>
      <c r="F179" s="36"/>
      <c r="G179" s="36"/>
      <c r="H179" s="36"/>
      <c r="I179" s="36"/>
      <c r="J179" s="36"/>
      <c r="K179" s="36"/>
    </row>
    <row r="180" spans="1:11" ht="19.5" customHeight="1" x14ac:dyDescent="0.25">
      <c r="A180" s="9">
        <v>44910.925845775462</v>
      </c>
      <c r="B180" s="36">
        <v>311</v>
      </c>
      <c r="C180" s="10" t="s">
        <v>29</v>
      </c>
      <c r="D180" s="10" t="s">
        <v>29</v>
      </c>
      <c r="E180" s="36">
        <v>86</v>
      </c>
      <c r="F180" s="36"/>
      <c r="G180" s="36"/>
      <c r="H180" s="36"/>
      <c r="I180" s="36"/>
      <c r="J180" s="36"/>
      <c r="K180" s="36"/>
    </row>
    <row r="181" spans="1:11" ht="19.5" customHeight="1" x14ac:dyDescent="0.25">
      <c r="A181" s="9">
        <v>44910.925850462962</v>
      </c>
      <c r="B181" s="36">
        <v>318</v>
      </c>
      <c r="C181" s="10">
        <v>18</v>
      </c>
      <c r="D181" s="10">
        <v>67</v>
      </c>
      <c r="E181" s="36">
        <v>85</v>
      </c>
      <c r="F181" s="36"/>
      <c r="G181" s="36"/>
      <c r="H181" s="36"/>
      <c r="I181" s="36"/>
      <c r="J181" s="36"/>
      <c r="K181" s="36"/>
    </row>
    <row r="182" spans="1:11" ht="19.5" customHeight="1" x14ac:dyDescent="0.25">
      <c r="A182" s="9">
        <v>44910.925855104164</v>
      </c>
      <c r="B182" s="36">
        <v>315</v>
      </c>
      <c r="C182" s="10">
        <v>19</v>
      </c>
      <c r="D182" s="10">
        <v>68</v>
      </c>
      <c r="E182" s="36">
        <v>87</v>
      </c>
      <c r="F182" s="36"/>
      <c r="G182" s="36"/>
      <c r="H182" s="36"/>
      <c r="I182" s="36"/>
      <c r="J182" s="36"/>
      <c r="K182" s="36"/>
    </row>
    <row r="183" spans="1:11" ht="19.5" customHeight="1" x14ac:dyDescent="0.25">
      <c r="A183" s="9">
        <v>44910.925859756942</v>
      </c>
      <c r="B183" s="36">
        <v>313</v>
      </c>
      <c r="C183" s="10">
        <v>19</v>
      </c>
      <c r="D183" s="10">
        <v>69</v>
      </c>
      <c r="E183" s="36">
        <v>88</v>
      </c>
      <c r="F183" s="36"/>
      <c r="G183" s="36"/>
      <c r="H183" s="36"/>
      <c r="I183" s="36"/>
      <c r="J183" s="36"/>
      <c r="K183" s="36"/>
    </row>
    <row r="184" spans="1:11" ht="19.5" customHeight="1" x14ac:dyDescent="0.25">
      <c r="A184" s="9">
        <v>44910.925864398145</v>
      </c>
      <c r="B184" s="36">
        <v>312</v>
      </c>
      <c r="C184" s="10">
        <v>19</v>
      </c>
      <c r="D184" s="10">
        <v>67</v>
      </c>
      <c r="E184" s="36">
        <v>86</v>
      </c>
      <c r="F184" s="36"/>
      <c r="G184" s="36"/>
      <c r="H184" s="36"/>
      <c r="I184" s="36"/>
      <c r="J184" s="36"/>
      <c r="K184" s="36"/>
    </row>
    <row r="185" spans="1:11" ht="19.5" customHeight="1" x14ac:dyDescent="0.25">
      <c r="A185" s="9">
        <v>44910.925868993058</v>
      </c>
      <c r="B185" s="36">
        <v>314</v>
      </c>
      <c r="C185" s="10">
        <v>20</v>
      </c>
      <c r="D185" s="10">
        <v>66</v>
      </c>
      <c r="E185" s="36">
        <v>86</v>
      </c>
      <c r="F185" s="36"/>
      <c r="G185" s="36"/>
      <c r="H185" s="36"/>
      <c r="I185" s="36"/>
      <c r="J185" s="36"/>
      <c r="K185" s="36"/>
    </row>
    <row r="186" spans="1:11" ht="19.5" customHeight="1" x14ac:dyDescent="0.25">
      <c r="A186" s="9">
        <v>44910.925873692133</v>
      </c>
      <c r="B186" s="36">
        <v>315</v>
      </c>
      <c r="C186" s="10">
        <v>19</v>
      </c>
      <c r="D186" s="10">
        <v>69</v>
      </c>
      <c r="E186" s="36">
        <v>88</v>
      </c>
      <c r="F186" s="36"/>
      <c r="G186" s="36"/>
      <c r="H186" s="36"/>
      <c r="I186" s="36"/>
      <c r="J186" s="36"/>
      <c r="K186" s="36"/>
    </row>
    <row r="187" spans="1:11" ht="19.5" customHeight="1" x14ac:dyDescent="0.25">
      <c r="A187" s="9">
        <v>44910.925878333335</v>
      </c>
      <c r="B187" s="36">
        <v>313</v>
      </c>
      <c r="C187" s="10">
        <v>20</v>
      </c>
      <c r="D187" s="10">
        <v>68</v>
      </c>
      <c r="E187" s="36">
        <v>88</v>
      </c>
      <c r="F187" s="36"/>
      <c r="G187" s="36"/>
      <c r="H187" s="36"/>
      <c r="I187" s="36"/>
      <c r="J187" s="36"/>
      <c r="K187" s="36"/>
    </row>
    <row r="188" spans="1:11" ht="19.5" customHeight="1" x14ac:dyDescent="0.25">
      <c r="A188" s="9">
        <v>44910.925882928241</v>
      </c>
      <c r="B188" s="36">
        <v>311</v>
      </c>
      <c r="C188" s="10">
        <v>19</v>
      </c>
      <c r="D188" s="10">
        <v>67</v>
      </c>
      <c r="E188" s="36">
        <v>86</v>
      </c>
      <c r="F188" s="36"/>
      <c r="G188" s="36"/>
      <c r="H188" s="36"/>
      <c r="I188" s="36"/>
      <c r="J188" s="36"/>
      <c r="K188" s="36"/>
    </row>
    <row r="189" spans="1:11" ht="19.5" customHeight="1" x14ac:dyDescent="0.25">
      <c r="A189" s="9">
        <v>44910.925887534722</v>
      </c>
      <c r="B189" s="36">
        <v>313</v>
      </c>
      <c r="C189" s="10">
        <v>19</v>
      </c>
      <c r="D189" s="10">
        <v>68</v>
      </c>
      <c r="E189" s="36">
        <v>87</v>
      </c>
      <c r="F189" s="36"/>
      <c r="G189" s="36"/>
      <c r="H189" s="36"/>
      <c r="I189" s="36"/>
      <c r="J189" s="36"/>
      <c r="K189" s="36"/>
    </row>
    <row r="190" spans="1:11" ht="19.5" customHeight="1" x14ac:dyDescent="0.25">
      <c r="A190" s="9">
        <v>44910.925892222222</v>
      </c>
      <c r="B190" s="36">
        <v>316</v>
      </c>
      <c r="C190" s="10">
        <v>20</v>
      </c>
      <c r="D190" s="10">
        <v>68</v>
      </c>
      <c r="E190" s="36">
        <v>88</v>
      </c>
      <c r="F190" s="36"/>
      <c r="G190" s="36"/>
      <c r="H190" s="36"/>
      <c r="I190" s="36"/>
      <c r="J190" s="36"/>
      <c r="K190" s="36"/>
    </row>
    <row r="191" spans="1:11" ht="19.5" customHeight="1" x14ac:dyDescent="0.25">
      <c r="A191" s="9">
        <v>44910.925896875</v>
      </c>
      <c r="B191" s="36">
        <v>314</v>
      </c>
      <c r="C191" s="10">
        <v>19</v>
      </c>
      <c r="D191" s="10">
        <v>67</v>
      </c>
      <c r="E191" s="36">
        <v>86</v>
      </c>
      <c r="F191" s="36"/>
      <c r="G191" s="36"/>
      <c r="H191" s="36"/>
      <c r="I191" s="36"/>
      <c r="J191" s="36"/>
      <c r="K191" s="36"/>
    </row>
    <row r="192" spans="1:11" ht="19.5" customHeight="1" x14ac:dyDescent="0.25">
      <c r="A192" s="9">
        <v>44910.925901469906</v>
      </c>
      <c r="B192" s="36">
        <v>312</v>
      </c>
      <c r="C192" s="10">
        <v>20</v>
      </c>
      <c r="D192" s="10">
        <v>66</v>
      </c>
      <c r="E192" s="36">
        <v>86</v>
      </c>
      <c r="F192" s="36"/>
      <c r="G192" s="36"/>
      <c r="H192" s="36"/>
      <c r="I192" s="36"/>
      <c r="J192" s="36"/>
      <c r="K192" s="36"/>
    </row>
    <row r="193" spans="1:11" ht="19.5" customHeight="1" x14ac:dyDescent="0.25">
      <c r="A193" s="9">
        <v>44910.925906157405</v>
      </c>
      <c r="B193" s="36">
        <v>314</v>
      </c>
      <c r="C193" s="10">
        <v>21</v>
      </c>
      <c r="D193" s="10">
        <v>70</v>
      </c>
      <c r="E193" s="36">
        <v>91</v>
      </c>
      <c r="F193" s="36"/>
      <c r="G193" s="36"/>
      <c r="H193" s="36"/>
      <c r="I193" s="36"/>
      <c r="J193" s="36"/>
      <c r="K193" s="36"/>
    </row>
    <row r="194" spans="1:11" ht="19.5" customHeight="1" x14ac:dyDescent="0.25">
      <c r="A194" s="9">
        <v>44910.925910810183</v>
      </c>
      <c r="B194" s="36">
        <v>313</v>
      </c>
      <c r="C194" s="10">
        <v>20</v>
      </c>
      <c r="D194" s="10">
        <v>69</v>
      </c>
      <c r="E194" s="36">
        <v>89</v>
      </c>
      <c r="F194" s="36"/>
      <c r="G194" s="36"/>
      <c r="H194" s="36"/>
      <c r="I194" s="36"/>
      <c r="J194" s="36"/>
      <c r="K194" s="36"/>
    </row>
    <row r="195" spans="1:11" ht="19.5" customHeight="1" x14ac:dyDescent="0.25">
      <c r="A195" s="9">
        <v>44910.925915358799</v>
      </c>
      <c r="B195" s="36">
        <v>312</v>
      </c>
      <c r="C195" s="10" t="s">
        <v>29</v>
      </c>
      <c r="D195" s="10" t="s">
        <v>29</v>
      </c>
      <c r="E195" s="36">
        <v>85</v>
      </c>
      <c r="F195" s="36"/>
      <c r="G195" s="36"/>
      <c r="H195" s="36"/>
      <c r="I195" s="36"/>
      <c r="J195" s="36"/>
      <c r="K195" s="36"/>
    </row>
    <row r="196" spans="1:11" ht="19.5" customHeight="1" x14ac:dyDescent="0.25">
      <c r="A196" s="9">
        <v>44910.925920057867</v>
      </c>
      <c r="B196" s="36">
        <v>312</v>
      </c>
      <c r="C196" s="10">
        <v>19</v>
      </c>
      <c r="D196" s="10">
        <v>69</v>
      </c>
      <c r="E196" s="36">
        <v>88</v>
      </c>
      <c r="F196" s="36"/>
      <c r="G196" s="36"/>
      <c r="H196" s="36"/>
      <c r="I196" s="36"/>
      <c r="J196" s="36"/>
      <c r="K196" s="36"/>
    </row>
    <row r="197" spans="1:11" ht="19.5" customHeight="1" x14ac:dyDescent="0.25">
      <c r="A197" s="9">
        <v>44910.925924606483</v>
      </c>
      <c r="B197" s="36">
        <v>308</v>
      </c>
      <c r="C197" s="10">
        <v>20</v>
      </c>
      <c r="D197" s="10">
        <v>67</v>
      </c>
      <c r="E197" s="36">
        <v>87</v>
      </c>
      <c r="F197" s="36"/>
      <c r="G197" s="36"/>
      <c r="H197" s="36"/>
      <c r="I197" s="36"/>
      <c r="J197" s="36"/>
      <c r="K197" s="36"/>
    </row>
    <row r="198" spans="1:11" ht="19.5" customHeight="1" x14ac:dyDescent="0.25">
      <c r="A198" s="9">
        <v>44910.925929340279</v>
      </c>
      <c r="B198" s="36">
        <v>319</v>
      </c>
      <c r="C198" s="10">
        <v>20</v>
      </c>
      <c r="D198" s="10">
        <v>70</v>
      </c>
      <c r="E198" s="36">
        <v>90</v>
      </c>
      <c r="F198" s="36"/>
      <c r="G198" s="36"/>
      <c r="H198" s="36"/>
      <c r="I198" s="36"/>
      <c r="J198" s="36"/>
      <c r="K198" s="36"/>
    </row>
    <row r="199" spans="1:11" ht="19.5" customHeight="1" x14ac:dyDescent="0.25">
      <c r="A199" s="9">
        <v>44910.925934027779</v>
      </c>
      <c r="B199" s="36">
        <v>315</v>
      </c>
      <c r="C199" s="10">
        <v>20</v>
      </c>
      <c r="D199" s="10">
        <v>68</v>
      </c>
      <c r="E199" s="36">
        <v>88</v>
      </c>
      <c r="F199" s="36"/>
      <c r="G199" s="36"/>
      <c r="H199" s="36"/>
      <c r="I199" s="36"/>
      <c r="J199" s="36"/>
      <c r="K199" s="36"/>
    </row>
    <row r="200" spans="1:11" ht="19.5" customHeight="1" x14ac:dyDescent="0.25">
      <c r="A200" s="9">
        <v>44910.925938541666</v>
      </c>
      <c r="B200" s="36">
        <v>302</v>
      </c>
      <c r="C200" s="10">
        <v>21</v>
      </c>
      <c r="D200" s="10">
        <v>68</v>
      </c>
      <c r="E200" s="36">
        <v>89</v>
      </c>
      <c r="F200" s="36"/>
      <c r="G200" s="36"/>
      <c r="H200" s="36"/>
      <c r="I200" s="36"/>
      <c r="J200" s="36"/>
      <c r="K200" s="36"/>
    </row>
    <row r="201" spans="1:11" ht="19.5" customHeight="1" x14ac:dyDescent="0.25">
      <c r="A201" s="9">
        <v>44910.925943287039</v>
      </c>
      <c r="B201" s="36">
        <v>318</v>
      </c>
      <c r="C201" s="10">
        <v>20</v>
      </c>
      <c r="D201" s="10">
        <v>7</v>
      </c>
      <c r="E201" s="36">
        <v>90</v>
      </c>
      <c r="F201" s="36"/>
      <c r="G201" s="36"/>
      <c r="H201" s="36"/>
      <c r="I201" s="36"/>
      <c r="J201" s="36"/>
      <c r="K201" s="36"/>
    </row>
    <row r="202" spans="1:11" ht="19.5" customHeight="1" x14ac:dyDescent="0.25">
      <c r="A202" s="9">
        <v>44910.925947974538</v>
      </c>
      <c r="B202" s="36">
        <v>314</v>
      </c>
      <c r="C202" s="10">
        <v>21</v>
      </c>
      <c r="D202" s="10">
        <v>69</v>
      </c>
      <c r="E202" s="36">
        <v>90</v>
      </c>
      <c r="F202" s="36"/>
      <c r="G202" s="36"/>
      <c r="H202" s="36"/>
      <c r="I202" s="36"/>
      <c r="J202" s="36"/>
      <c r="K202" s="36"/>
    </row>
    <row r="203" spans="1:11" ht="19.5" customHeight="1" x14ac:dyDescent="0.25">
      <c r="A203" s="9">
        <v>44910.925952534722</v>
      </c>
      <c r="B203" s="36">
        <v>304</v>
      </c>
      <c r="C203" s="10">
        <v>21</v>
      </c>
      <c r="D203" s="10">
        <v>69</v>
      </c>
      <c r="E203" s="36">
        <v>90</v>
      </c>
      <c r="F203" s="36"/>
      <c r="G203" s="36"/>
      <c r="H203" s="36"/>
      <c r="I203" s="36"/>
      <c r="J203" s="36"/>
      <c r="K203" s="36"/>
    </row>
    <row r="204" spans="1:11" ht="19.5" customHeight="1" x14ac:dyDescent="0.25">
      <c r="A204" s="9">
        <v>44910.925957175925</v>
      </c>
      <c r="B204" s="36">
        <v>315</v>
      </c>
      <c r="C204" s="10">
        <v>20</v>
      </c>
      <c r="D204" s="10">
        <v>68</v>
      </c>
      <c r="E204" s="36">
        <v>88</v>
      </c>
      <c r="F204" s="36"/>
      <c r="G204" s="36"/>
      <c r="H204" s="36"/>
      <c r="I204" s="36"/>
      <c r="J204" s="36"/>
      <c r="K204" s="36"/>
    </row>
    <row r="205" spans="1:11" ht="19.5" customHeight="1" x14ac:dyDescent="0.25">
      <c r="A205" s="9">
        <v>44910.925961817127</v>
      </c>
      <c r="B205" s="36">
        <v>311</v>
      </c>
      <c r="C205" s="10">
        <v>21</v>
      </c>
      <c r="D205" s="10">
        <v>69</v>
      </c>
      <c r="E205" s="36">
        <v>90</v>
      </c>
      <c r="F205" s="36"/>
      <c r="G205" s="36"/>
      <c r="H205" s="36"/>
      <c r="I205" s="36"/>
      <c r="J205" s="36"/>
      <c r="K205" s="36"/>
    </row>
    <row r="206" spans="1:11" ht="19.5" customHeight="1" x14ac:dyDescent="0.25">
      <c r="A206" s="9">
        <v>44910.925966365743</v>
      </c>
      <c r="B206" s="36">
        <v>303</v>
      </c>
      <c r="C206" s="10">
        <v>22</v>
      </c>
      <c r="D206" s="10">
        <v>67</v>
      </c>
      <c r="E206" s="36">
        <v>89</v>
      </c>
      <c r="F206" s="36"/>
      <c r="G206" s="36"/>
      <c r="H206" s="36"/>
      <c r="I206" s="36"/>
      <c r="J206" s="36"/>
      <c r="K206" s="36"/>
    </row>
    <row r="207" spans="1:11" ht="19.5" customHeight="1" x14ac:dyDescent="0.25">
      <c r="A207" s="9">
        <v>44910.925971111108</v>
      </c>
      <c r="B207" s="36">
        <v>317</v>
      </c>
      <c r="C207" s="10">
        <v>21</v>
      </c>
      <c r="D207" s="10">
        <v>70</v>
      </c>
      <c r="E207" s="36">
        <v>91</v>
      </c>
      <c r="F207" s="36"/>
      <c r="G207" s="36"/>
      <c r="H207" s="36"/>
      <c r="I207" s="36"/>
      <c r="J207" s="36"/>
      <c r="K207" s="36"/>
    </row>
    <row r="208" spans="1:11" ht="19.5" customHeight="1" x14ac:dyDescent="0.25">
      <c r="A208" s="9">
        <v>44910.925975752318</v>
      </c>
      <c r="B208" s="36">
        <v>309</v>
      </c>
      <c r="C208" s="10">
        <v>22</v>
      </c>
      <c r="D208" s="10">
        <v>72</v>
      </c>
      <c r="E208" s="36">
        <v>94</v>
      </c>
      <c r="F208" s="36"/>
      <c r="G208" s="36"/>
      <c r="H208" s="36"/>
      <c r="I208" s="36"/>
      <c r="J208" s="36"/>
      <c r="K208" s="36"/>
    </row>
    <row r="209" spans="1:11" ht="19.5" customHeight="1" x14ac:dyDescent="0.25">
      <c r="A209" s="9">
        <v>44910.925980347223</v>
      </c>
      <c r="B209" s="36">
        <v>308</v>
      </c>
      <c r="C209" s="10">
        <v>21</v>
      </c>
      <c r="D209" s="10">
        <v>69</v>
      </c>
      <c r="E209" s="36">
        <v>90</v>
      </c>
      <c r="F209" s="36"/>
      <c r="G209" s="36"/>
      <c r="H209" s="36"/>
      <c r="I209" s="36"/>
      <c r="J209" s="36"/>
      <c r="K209" s="36"/>
    </row>
    <row r="210" spans="1:11" ht="19.5" customHeight="1" x14ac:dyDescent="0.25">
      <c r="A210" s="9">
        <v>44910.925985046299</v>
      </c>
      <c r="B210" s="36">
        <v>311</v>
      </c>
      <c r="C210" s="10">
        <v>22</v>
      </c>
      <c r="D210" s="10">
        <v>69</v>
      </c>
      <c r="E210" s="36">
        <v>91</v>
      </c>
      <c r="F210" s="36"/>
      <c r="G210" s="36"/>
      <c r="H210" s="36"/>
      <c r="I210" s="36"/>
      <c r="J210" s="36"/>
      <c r="K210" s="36"/>
    </row>
    <row r="211" spans="1:11" ht="19.5" customHeight="1" x14ac:dyDescent="0.25">
      <c r="A211" s="9">
        <v>44910.925989687501</v>
      </c>
      <c r="B211" s="36">
        <v>308</v>
      </c>
      <c r="C211" s="10">
        <v>22</v>
      </c>
      <c r="D211" s="10">
        <v>74</v>
      </c>
      <c r="E211" s="36">
        <v>96</v>
      </c>
      <c r="F211" s="36"/>
      <c r="G211" s="36"/>
      <c r="H211" s="36"/>
      <c r="I211" s="36"/>
      <c r="J211" s="36"/>
      <c r="K211" s="36"/>
    </row>
    <row r="212" spans="1:11" ht="19.5" customHeight="1" x14ac:dyDescent="0.25">
      <c r="A212" s="9">
        <v>44910.925994293983</v>
      </c>
      <c r="B212" s="36">
        <v>304</v>
      </c>
      <c r="C212" s="10">
        <v>22</v>
      </c>
      <c r="D212" s="10">
        <v>70</v>
      </c>
      <c r="E212" s="36">
        <v>92</v>
      </c>
      <c r="F212" s="36"/>
      <c r="G212" s="36"/>
      <c r="H212" s="36"/>
      <c r="I212" s="36"/>
      <c r="J212" s="36"/>
      <c r="K212" s="36"/>
    </row>
    <row r="213" spans="1:11" ht="19.5" customHeight="1" x14ac:dyDescent="0.25">
      <c r="A213" s="9">
        <v>44910.925998935185</v>
      </c>
      <c r="B213" s="36">
        <v>308</v>
      </c>
      <c r="C213" s="10">
        <v>23</v>
      </c>
      <c r="D213" s="10">
        <v>69</v>
      </c>
      <c r="E213" s="36">
        <v>92</v>
      </c>
      <c r="F213" s="36"/>
      <c r="G213" s="36"/>
      <c r="H213" s="36"/>
      <c r="I213" s="36"/>
      <c r="J213" s="36"/>
      <c r="K213" s="36"/>
    </row>
    <row r="214" spans="1:11" ht="19.5" customHeight="1" x14ac:dyDescent="0.25">
      <c r="A214" s="9">
        <v>44910.926003587963</v>
      </c>
      <c r="B214" s="36">
        <v>312</v>
      </c>
      <c r="C214" s="10">
        <v>21</v>
      </c>
      <c r="D214" s="10">
        <v>70</v>
      </c>
      <c r="E214" s="36">
        <v>91</v>
      </c>
      <c r="F214" s="36"/>
      <c r="G214" s="36"/>
      <c r="H214" s="36"/>
      <c r="I214" s="36"/>
      <c r="J214" s="36"/>
      <c r="K214" s="36"/>
    </row>
    <row r="215" spans="1:11" ht="19.5" customHeight="1" x14ac:dyDescent="0.25">
      <c r="A215" s="9">
        <v>44910.926008229166</v>
      </c>
      <c r="B215" s="36">
        <v>303</v>
      </c>
      <c r="C215" s="10">
        <v>22</v>
      </c>
      <c r="D215" s="10">
        <v>73</v>
      </c>
      <c r="E215" s="36">
        <v>95</v>
      </c>
      <c r="F215" s="36"/>
      <c r="G215" s="36"/>
      <c r="H215" s="36"/>
      <c r="I215" s="36"/>
      <c r="J215" s="36"/>
      <c r="K215" s="36"/>
    </row>
    <row r="216" spans="1:11" ht="19.5" customHeight="1" x14ac:dyDescent="0.25">
      <c r="A216" s="9">
        <v>44910.926012824071</v>
      </c>
      <c r="B216" s="36">
        <v>309</v>
      </c>
      <c r="C216" s="10">
        <v>23</v>
      </c>
      <c r="D216" s="10">
        <v>70</v>
      </c>
      <c r="E216" s="36">
        <v>93</v>
      </c>
      <c r="F216" s="36"/>
      <c r="G216" s="36"/>
      <c r="H216" s="36"/>
      <c r="I216" s="36"/>
      <c r="J216" s="36"/>
      <c r="K216" s="36"/>
    </row>
    <row r="217" spans="1:11" ht="19.5" customHeight="1" x14ac:dyDescent="0.25">
      <c r="A217" s="9">
        <v>44910.92601747685</v>
      </c>
      <c r="B217" s="36">
        <v>307</v>
      </c>
      <c r="C217" s="10">
        <v>23</v>
      </c>
      <c r="D217" s="10">
        <v>70</v>
      </c>
      <c r="E217" s="36">
        <v>93</v>
      </c>
      <c r="F217" s="36"/>
      <c r="G217" s="36"/>
      <c r="H217" s="36"/>
      <c r="I217" s="36"/>
      <c r="J217" s="36"/>
      <c r="K217" s="36"/>
    </row>
    <row r="218" spans="1:11" ht="19.5" customHeight="1" x14ac:dyDescent="0.25">
      <c r="A218" s="9">
        <v>44910.926022164349</v>
      </c>
      <c r="B218" s="36">
        <v>309</v>
      </c>
      <c r="C218" s="10">
        <v>23</v>
      </c>
      <c r="D218" s="10">
        <v>70</v>
      </c>
      <c r="E218" s="36">
        <v>93</v>
      </c>
      <c r="F218" s="36"/>
      <c r="G218" s="36"/>
      <c r="H218" s="36"/>
      <c r="I218" s="36"/>
      <c r="J218" s="36"/>
      <c r="K218" s="36"/>
    </row>
    <row r="219" spans="1:11" ht="19.5" customHeight="1" x14ac:dyDescent="0.25">
      <c r="A219" s="9">
        <v>44910.926026770831</v>
      </c>
      <c r="B219" s="36">
        <v>306</v>
      </c>
      <c r="C219" s="10">
        <v>22</v>
      </c>
      <c r="D219" s="10">
        <v>71</v>
      </c>
      <c r="E219" s="36">
        <v>93</v>
      </c>
      <c r="F219" s="36"/>
      <c r="G219" s="36"/>
      <c r="H219" s="36"/>
      <c r="I219" s="36"/>
      <c r="J219" s="36"/>
      <c r="K219" s="36"/>
    </row>
    <row r="220" spans="1:11" ht="19.5" customHeight="1" x14ac:dyDescent="0.25">
      <c r="A220" s="9">
        <v>44910.926031365743</v>
      </c>
      <c r="B220" s="36">
        <v>305</v>
      </c>
      <c r="C220" s="10">
        <v>23</v>
      </c>
      <c r="D220" s="10">
        <v>71</v>
      </c>
      <c r="E220" s="36">
        <v>94</v>
      </c>
      <c r="F220" s="36"/>
      <c r="G220" s="36"/>
      <c r="H220" s="36"/>
      <c r="I220" s="36"/>
      <c r="J220" s="36"/>
      <c r="K220" s="36"/>
    </row>
    <row r="221" spans="1:11" ht="19.5" customHeight="1" x14ac:dyDescent="0.25">
      <c r="A221" s="9">
        <v>44910.926035949073</v>
      </c>
      <c r="B221" s="36">
        <v>300</v>
      </c>
      <c r="C221" s="10">
        <v>23</v>
      </c>
      <c r="D221" s="10">
        <v>71</v>
      </c>
      <c r="E221" s="36">
        <v>94</v>
      </c>
      <c r="F221" s="36"/>
      <c r="G221" s="36"/>
      <c r="H221" s="36"/>
      <c r="I221" s="36"/>
      <c r="J221" s="36"/>
      <c r="K221" s="36"/>
    </row>
    <row r="222" spans="1:11" ht="19.5" customHeight="1" x14ac:dyDescent="0.25">
      <c r="A222" s="9">
        <v>44910.926040706021</v>
      </c>
      <c r="B222" s="36">
        <v>315</v>
      </c>
      <c r="C222" s="10">
        <v>23</v>
      </c>
      <c r="D222" s="10">
        <v>71</v>
      </c>
      <c r="E222" s="36">
        <v>94</v>
      </c>
      <c r="F222" s="36"/>
      <c r="G222" s="36"/>
      <c r="H222" s="36"/>
      <c r="I222" s="36"/>
      <c r="J222" s="36"/>
      <c r="K222" s="36"/>
    </row>
    <row r="223" spans="1:11" ht="19.5" customHeight="1" x14ac:dyDescent="0.25">
      <c r="A223" s="9">
        <v>44910.926045300926</v>
      </c>
      <c r="B223" s="36">
        <v>305</v>
      </c>
      <c r="C223" s="10">
        <v>24</v>
      </c>
      <c r="D223" s="10">
        <v>70</v>
      </c>
      <c r="E223" s="36">
        <v>94</v>
      </c>
      <c r="F223" s="36"/>
      <c r="G223" s="36"/>
      <c r="H223" s="36"/>
      <c r="I223" s="36"/>
      <c r="J223" s="36"/>
      <c r="K223" s="36"/>
    </row>
    <row r="224" spans="1:11" ht="19.5" customHeight="1" x14ac:dyDescent="0.25">
      <c r="A224" s="9">
        <v>44910.926049942129</v>
      </c>
      <c r="B224" s="36">
        <v>305</v>
      </c>
      <c r="C224" s="10">
        <v>24</v>
      </c>
      <c r="D224" s="10">
        <v>73</v>
      </c>
      <c r="E224" s="36">
        <v>97</v>
      </c>
      <c r="F224" s="36"/>
      <c r="G224" s="36"/>
      <c r="H224" s="36"/>
      <c r="I224" s="36"/>
      <c r="J224" s="36"/>
      <c r="K224" s="36"/>
    </row>
    <row r="225" spans="1:11" ht="19.5" customHeight="1" x14ac:dyDescent="0.25">
      <c r="A225" s="9">
        <v>44910.926054594907</v>
      </c>
      <c r="B225" s="36">
        <v>306</v>
      </c>
      <c r="C225" s="10">
        <v>23</v>
      </c>
      <c r="D225" s="10">
        <v>71</v>
      </c>
      <c r="E225" s="36">
        <v>94</v>
      </c>
      <c r="F225" s="36"/>
      <c r="G225" s="36"/>
      <c r="H225" s="36"/>
      <c r="I225" s="36"/>
      <c r="J225" s="36"/>
      <c r="K225" s="36"/>
    </row>
    <row r="226" spans="1:11" ht="19.5" customHeight="1" x14ac:dyDescent="0.25">
      <c r="A226" s="9">
        <v>44910.926059282407</v>
      </c>
      <c r="B226" s="36">
        <v>308</v>
      </c>
      <c r="C226" s="10">
        <v>25</v>
      </c>
      <c r="D226" s="10">
        <v>70</v>
      </c>
      <c r="E226" s="36">
        <v>95</v>
      </c>
      <c r="F226" s="36"/>
      <c r="G226" s="36"/>
      <c r="H226" s="36"/>
      <c r="I226" s="36"/>
      <c r="J226" s="36"/>
      <c r="K226" s="36"/>
    </row>
    <row r="227" spans="1:11" ht="19.5" customHeight="1" x14ac:dyDescent="0.25">
      <c r="A227" s="9">
        <v>44910.926063888888</v>
      </c>
      <c r="B227" s="36">
        <v>304</v>
      </c>
      <c r="C227" s="10">
        <v>24</v>
      </c>
      <c r="D227" s="10">
        <v>72</v>
      </c>
      <c r="E227" s="36">
        <v>96</v>
      </c>
      <c r="F227" s="36"/>
      <c r="G227" s="36"/>
      <c r="H227" s="36"/>
      <c r="I227" s="36"/>
      <c r="J227" s="36"/>
      <c r="K227" s="36"/>
    </row>
    <row r="228" spans="1:11" ht="19.5" customHeight="1" x14ac:dyDescent="0.25">
      <c r="A228" s="9">
        <v>44910.926068530091</v>
      </c>
      <c r="B228" s="36">
        <v>303</v>
      </c>
      <c r="C228" s="10">
        <v>23</v>
      </c>
      <c r="D228" s="10">
        <v>74</v>
      </c>
      <c r="E228" s="36">
        <v>97</v>
      </c>
      <c r="F228" s="36"/>
      <c r="G228" s="36"/>
      <c r="H228" s="36"/>
      <c r="I228" s="36"/>
      <c r="J228" s="36"/>
      <c r="K228" s="36"/>
    </row>
    <row r="229" spans="1:11" ht="19.5" customHeight="1" x14ac:dyDescent="0.25">
      <c r="A229" s="9">
        <v>44910.926073125003</v>
      </c>
      <c r="B229" s="36">
        <v>300</v>
      </c>
      <c r="C229" s="10">
        <v>26</v>
      </c>
      <c r="D229" s="10">
        <v>71</v>
      </c>
      <c r="E229" s="36">
        <v>97</v>
      </c>
      <c r="F229" s="36"/>
      <c r="G229" s="36"/>
      <c r="H229" s="36"/>
      <c r="I229" s="36"/>
      <c r="J229" s="36"/>
      <c r="K229" s="36"/>
    </row>
    <row r="230" spans="1:11" ht="19.5" customHeight="1" x14ac:dyDescent="0.25">
      <c r="A230" s="9">
        <v>44910.926077812503</v>
      </c>
      <c r="B230" s="36">
        <v>307</v>
      </c>
      <c r="C230" s="10">
        <v>24</v>
      </c>
      <c r="D230" s="10">
        <v>73</v>
      </c>
      <c r="E230" s="36">
        <v>97</v>
      </c>
      <c r="F230" s="36"/>
      <c r="G230" s="36"/>
      <c r="H230" s="36"/>
      <c r="I230" s="36"/>
      <c r="J230" s="36"/>
      <c r="K230" s="36"/>
    </row>
    <row r="231" spans="1:11" ht="19.5" customHeight="1" x14ac:dyDescent="0.25">
      <c r="A231" s="9">
        <v>44910.926082696758</v>
      </c>
      <c r="B231" s="36">
        <v>325</v>
      </c>
      <c r="C231" s="10">
        <v>24</v>
      </c>
      <c r="D231" s="10">
        <v>72</v>
      </c>
      <c r="E231" s="36">
        <v>96</v>
      </c>
      <c r="F231" s="36"/>
      <c r="G231" s="36"/>
      <c r="H231" s="36"/>
      <c r="I231" s="36"/>
      <c r="J231" s="36"/>
      <c r="K231" s="36"/>
    </row>
    <row r="232" spans="1:11" ht="19.5" customHeight="1" x14ac:dyDescent="0.25">
      <c r="A232" s="9">
        <v>44910.926087060187</v>
      </c>
      <c r="B232" s="36">
        <v>281</v>
      </c>
      <c r="C232" s="10">
        <v>26</v>
      </c>
      <c r="D232" s="10">
        <v>73</v>
      </c>
      <c r="E232" s="36">
        <v>99</v>
      </c>
      <c r="F232" s="36"/>
      <c r="G232" s="36"/>
      <c r="H232" s="36"/>
      <c r="I232" s="36"/>
      <c r="J232" s="36"/>
      <c r="K232" s="36"/>
    </row>
    <row r="233" spans="1:11" ht="19.5" customHeight="1" x14ac:dyDescent="0.25">
      <c r="A233" s="9">
        <v>44910.926091944442</v>
      </c>
      <c r="B233" s="36">
        <v>322</v>
      </c>
      <c r="C233" s="10">
        <v>26</v>
      </c>
      <c r="D233" s="10">
        <v>72</v>
      </c>
      <c r="E233" s="36">
        <v>98</v>
      </c>
      <c r="F233" s="36"/>
      <c r="G233" s="36"/>
      <c r="H233" s="36"/>
      <c r="I233" s="36"/>
      <c r="J233" s="36"/>
      <c r="K233" s="36"/>
    </row>
    <row r="234" spans="1:11" ht="19.5" customHeight="1" x14ac:dyDescent="0.25">
      <c r="A234" s="9">
        <v>44910.926096504627</v>
      </c>
      <c r="B234" s="36">
        <v>291</v>
      </c>
      <c r="C234" s="10">
        <v>26</v>
      </c>
      <c r="D234" s="10">
        <v>74</v>
      </c>
      <c r="E234" s="36">
        <v>100</v>
      </c>
      <c r="F234" s="36"/>
      <c r="G234" s="36"/>
      <c r="H234" s="36"/>
      <c r="I234" s="36"/>
      <c r="J234" s="36"/>
      <c r="K234" s="36"/>
    </row>
    <row r="235" spans="1:11" ht="19.5" customHeight="1" x14ac:dyDescent="0.25">
      <c r="A235" s="9">
        <v>44910.926101238423</v>
      </c>
      <c r="B235" s="36">
        <v>311</v>
      </c>
      <c r="C235" s="10">
        <v>27</v>
      </c>
      <c r="D235" s="10">
        <v>72</v>
      </c>
      <c r="E235" s="36">
        <v>99</v>
      </c>
      <c r="F235" s="36"/>
      <c r="G235" s="36"/>
      <c r="H235" s="36"/>
      <c r="I235" s="36"/>
      <c r="J235" s="36"/>
      <c r="K235" s="36"/>
    </row>
    <row r="236" spans="1:11" ht="19.5" customHeight="1" x14ac:dyDescent="0.25">
      <c r="A236" s="9">
        <v>44910.926105879633</v>
      </c>
      <c r="B236" s="36">
        <v>300</v>
      </c>
      <c r="C236" s="10">
        <v>27</v>
      </c>
      <c r="D236" s="10">
        <v>73</v>
      </c>
      <c r="E236" s="36">
        <v>100</v>
      </c>
      <c r="F236" s="36"/>
      <c r="G236" s="36"/>
      <c r="H236" s="36"/>
      <c r="I236" s="36"/>
      <c r="J236" s="36"/>
      <c r="K236" s="36"/>
    </row>
    <row r="237" spans="1:11" ht="19.5" customHeight="1" x14ac:dyDescent="0.25">
      <c r="A237" s="9">
        <v>44910.926110763889</v>
      </c>
      <c r="B237" s="36">
        <v>322</v>
      </c>
      <c r="C237" s="10">
        <v>27</v>
      </c>
      <c r="D237" s="10">
        <v>74</v>
      </c>
      <c r="E237" s="36">
        <v>101</v>
      </c>
      <c r="F237" s="36"/>
      <c r="G237" s="36"/>
      <c r="H237" s="36"/>
      <c r="I237" s="36"/>
      <c r="J237" s="36"/>
      <c r="K237" s="36"/>
    </row>
    <row r="238" spans="1:11" ht="19.5" customHeight="1" x14ac:dyDescent="0.25">
      <c r="A238" s="9">
        <v>44910.926115127317</v>
      </c>
      <c r="B238" s="36">
        <v>275</v>
      </c>
      <c r="C238" s="10">
        <v>28</v>
      </c>
      <c r="D238" s="10">
        <v>73</v>
      </c>
      <c r="E238" s="36">
        <v>101</v>
      </c>
      <c r="F238" s="36"/>
      <c r="G238" s="36"/>
      <c r="H238" s="36"/>
      <c r="I238" s="36"/>
      <c r="J238" s="36"/>
      <c r="K238" s="36"/>
    </row>
    <row r="239" spans="1:11" ht="19.5" customHeight="1" x14ac:dyDescent="0.25">
      <c r="A239" s="9">
        <v>44910.926119826392</v>
      </c>
      <c r="B239" s="36">
        <v>305</v>
      </c>
      <c r="C239" s="10">
        <v>28</v>
      </c>
      <c r="D239" s="10">
        <v>72</v>
      </c>
      <c r="E239" s="36">
        <v>100</v>
      </c>
      <c r="F239" s="36"/>
      <c r="G239" s="36"/>
      <c r="H239" s="36"/>
      <c r="I239" s="36"/>
      <c r="J239" s="36"/>
      <c r="K239" s="36"/>
    </row>
    <row r="240" spans="1:11" ht="19.5" customHeight="1" x14ac:dyDescent="0.25">
      <c r="A240" s="9">
        <v>44910.926124710648</v>
      </c>
      <c r="B240" s="36">
        <v>319</v>
      </c>
      <c r="C240" s="10">
        <v>29</v>
      </c>
      <c r="D240" s="10">
        <v>73</v>
      </c>
      <c r="E240" s="36">
        <v>102</v>
      </c>
      <c r="F240" s="36"/>
      <c r="G240" s="36"/>
      <c r="H240" s="36"/>
      <c r="I240" s="36"/>
      <c r="J240" s="36"/>
      <c r="K240" s="36"/>
    </row>
    <row r="241" spans="1:11" ht="19.5" customHeight="1" x14ac:dyDescent="0.25">
      <c r="A241" s="9">
        <v>44910.926129305553</v>
      </c>
      <c r="B241" s="36">
        <v>299</v>
      </c>
      <c r="C241" s="10">
        <v>30</v>
      </c>
      <c r="D241" s="10">
        <v>71</v>
      </c>
      <c r="E241" s="36">
        <v>101</v>
      </c>
      <c r="F241" s="36"/>
      <c r="G241" s="36"/>
      <c r="H241" s="36"/>
      <c r="I241" s="36"/>
      <c r="J241" s="36"/>
      <c r="K241" s="36"/>
    </row>
    <row r="242" spans="1:11" ht="19.5" customHeight="1" x14ac:dyDescent="0.25">
      <c r="A242" s="9">
        <v>44910.926133946756</v>
      </c>
      <c r="B242" s="36">
        <v>296</v>
      </c>
      <c r="C242" s="10">
        <v>30</v>
      </c>
      <c r="D242" s="10">
        <v>73</v>
      </c>
      <c r="E242" s="36">
        <v>103</v>
      </c>
      <c r="F242" s="36"/>
      <c r="G242" s="36"/>
      <c r="H242" s="36"/>
      <c r="I242" s="36"/>
      <c r="J242" s="36"/>
      <c r="K242" s="36"/>
    </row>
    <row r="243" spans="1:11" ht="19.5" customHeight="1" x14ac:dyDescent="0.25">
      <c r="A243" s="9">
        <v>44910.926138587965</v>
      </c>
      <c r="B243" s="36">
        <v>299</v>
      </c>
      <c r="C243" s="10">
        <v>29</v>
      </c>
      <c r="D243" s="10">
        <v>73</v>
      </c>
      <c r="E243" s="36">
        <v>102</v>
      </c>
      <c r="F243" s="36"/>
      <c r="G243" s="36"/>
      <c r="H243" s="36"/>
      <c r="I243" s="36"/>
      <c r="J243" s="36"/>
      <c r="K243" s="36"/>
    </row>
    <row r="244" spans="1:11" ht="19.5" customHeight="1" x14ac:dyDescent="0.25">
      <c r="A244" s="9">
        <v>44910.926143182871</v>
      </c>
      <c r="B244" s="36">
        <v>298</v>
      </c>
      <c r="C244" s="10">
        <v>31</v>
      </c>
      <c r="D244" s="10">
        <v>71</v>
      </c>
      <c r="E244" s="36">
        <v>102</v>
      </c>
      <c r="F244" s="36"/>
      <c r="G244" s="36"/>
      <c r="H244" s="36"/>
      <c r="I244" s="36"/>
      <c r="J244" s="36"/>
      <c r="K244" s="36"/>
    </row>
    <row r="245" spans="1:11" ht="19.5" customHeight="1" x14ac:dyDescent="0.25">
      <c r="A245" s="9">
        <v>44910.926147881946</v>
      </c>
      <c r="B245" s="36">
        <v>298</v>
      </c>
      <c r="C245" s="10">
        <v>33</v>
      </c>
      <c r="D245" s="10">
        <v>71</v>
      </c>
      <c r="E245" s="36">
        <v>104</v>
      </c>
      <c r="F245" s="36"/>
      <c r="G245" s="36"/>
      <c r="H245" s="36"/>
      <c r="I245" s="36"/>
      <c r="J245" s="36"/>
      <c r="K245" s="36"/>
    </row>
    <row r="246" spans="1:11" ht="19.5" customHeight="1" x14ac:dyDescent="0.25">
      <c r="A246" s="9">
        <v>44910.926152534725</v>
      </c>
      <c r="B246" s="36">
        <v>298</v>
      </c>
      <c r="C246" s="10">
        <v>33</v>
      </c>
      <c r="D246" s="10">
        <v>72</v>
      </c>
      <c r="E246" s="36">
        <v>105</v>
      </c>
      <c r="F246" s="36"/>
      <c r="G246" s="36"/>
      <c r="H246" s="36"/>
      <c r="I246" s="36"/>
      <c r="J246" s="36"/>
      <c r="K246" s="36"/>
    </row>
    <row r="247" spans="1:11" ht="19.5" customHeight="1" x14ac:dyDescent="0.25">
      <c r="A247" s="9">
        <v>44910.926157175927</v>
      </c>
      <c r="B247" s="36">
        <v>291</v>
      </c>
      <c r="C247" s="10">
        <v>34</v>
      </c>
      <c r="D247" s="10">
        <v>75</v>
      </c>
      <c r="E247" s="36">
        <v>109</v>
      </c>
      <c r="F247" s="36"/>
      <c r="G247" s="36"/>
      <c r="H247" s="36"/>
      <c r="I247" s="36"/>
      <c r="J247" s="36"/>
      <c r="K247" s="36"/>
    </row>
    <row r="248" spans="1:11" ht="19.5" customHeight="1" x14ac:dyDescent="0.25">
      <c r="A248" s="9">
        <v>44910.926162013886</v>
      </c>
      <c r="B248" s="36">
        <v>313</v>
      </c>
      <c r="C248" s="10">
        <v>34</v>
      </c>
      <c r="D248" s="10">
        <v>73</v>
      </c>
      <c r="E248" s="36">
        <v>107</v>
      </c>
      <c r="F248" s="36"/>
      <c r="G248" s="36"/>
      <c r="H248" s="36"/>
      <c r="I248" s="36"/>
      <c r="J248" s="36"/>
      <c r="K248" s="36"/>
    </row>
    <row r="249" spans="1:11" ht="19.5" customHeight="1" x14ac:dyDescent="0.25">
      <c r="A249" s="9">
        <v>44910.926166666664</v>
      </c>
      <c r="B249" s="36">
        <v>293</v>
      </c>
      <c r="C249" s="10">
        <v>35</v>
      </c>
      <c r="D249" s="10">
        <v>73</v>
      </c>
      <c r="E249" s="36">
        <v>108</v>
      </c>
      <c r="F249" s="36"/>
      <c r="G249" s="36"/>
      <c r="H249" s="36"/>
      <c r="I249" s="36"/>
      <c r="J249" s="36"/>
      <c r="K249" s="36"/>
    </row>
    <row r="250" spans="1:11" ht="19.5" customHeight="1" x14ac:dyDescent="0.25">
      <c r="A250" s="9">
        <v>44910.926171354164</v>
      </c>
      <c r="B250" s="36">
        <v>292</v>
      </c>
      <c r="C250" s="10">
        <v>35</v>
      </c>
      <c r="D250" s="10">
        <v>75</v>
      </c>
      <c r="E250" s="36">
        <v>110</v>
      </c>
      <c r="F250" s="36"/>
      <c r="G250" s="36"/>
      <c r="H250" s="36"/>
      <c r="I250" s="36"/>
      <c r="J250" s="36"/>
      <c r="K250" s="36"/>
    </row>
    <row r="251" spans="1:11" ht="19.5" customHeight="1" x14ac:dyDescent="0.25">
      <c r="A251" s="9">
        <v>44910.92617604167</v>
      </c>
      <c r="B251" s="36">
        <v>296</v>
      </c>
      <c r="C251" s="10">
        <v>38</v>
      </c>
      <c r="D251" s="10">
        <v>73</v>
      </c>
      <c r="E251" s="36">
        <v>111</v>
      </c>
      <c r="F251" s="36"/>
      <c r="G251" s="36"/>
      <c r="H251" s="36"/>
      <c r="I251" s="36"/>
      <c r="J251" s="36"/>
      <c r="K251" s="36"/>
    </row>
    <row r="252" spans="1:11" ht="19.5" customHeight="1" x14ac:dyDescent="0.25">
      <c r="A252" s="9">
        <v>44910.926180601855</v>
      </c>
      <c r="B252" s="36">
        <v>281</v>
      </c>
      <c r="C252" s="10">
        <v>38</v>
      </c>
      <c r="D252" s="10">
        <v>74</v>
      </c>
      <c r="E252" s="36">
        <v>112</v>
      </c>
      <c r="F252" s="36"/>
      <c r="G252" s="36"/>
      <c r="H252" s="36"/>
      <c r="I252" s="36"/>
      <c r="J252" s="36"/>
      <c r="K252" s="36"/>
    </row>
    <row r="253" spans="1:11" ht="19.5" customHeight="1" x14ac:dyDescent="0.25">
      <c r="A253" s="9">
        <v>44910.926185335651</v>
      </c>
      <c r="B253" s="36">
        <v>296</v>
      </c>
      <c r="C253" s="10">
        <v>39</v>
      </c>
      <c r="D253" s="10">
        <v>73</v>
      </c>
      <c r="E253" s="36">
        <v>112</v>
      </c>
      <c r="F253" s="36"/>
      <c r="G253" s="36"/>
      <c r="H253" s="36"/>
      <c r="I253" s="36"/>
      <c r="J253" s="36"/>
      <c r="K253" s="36"/>
    </row>
    <row r="254" spans="1:11" ht="19.5" customHeight="1" x14ac:dyDescent="0.25">
      <c r="A254" s="9">
        <v>44910.92618988426</v>
      </c>
      <c r="B254" s="36">
        <v>284</v>
      </c>
      <c r="C254" s="10">
        <v>41</v>
      </c>
      <c r="D254" s="10">
        <v>71</v>
      </c>
      <c r="E254" s="36">
        <v>112</v>
      </c>
      <c r="F254" s="36"/>
      <c r="G254" s="36"/>
      <c r="H254" s="36"/>
      <c r="I254" s="36"/>
      <c r="J254" s="36"/>
      <c r="K254" s="36"/>
    </row>
    <row r="255" spans="1:11" ht="19.5" customHeight="1" x14ac:dyDescent="0.25">
      <c r="A255" s="9">
        <v>44910.926194629632</v>
      </c>
      <c r="B255" s="36">
        <v>287</v>
      </c>
      <c r="C255" s="10" t="s">
        <v>29</v>
      </c>
      <c r="D255" s="10" t="s">
        <v>29</v>
      </c>
      <c r="E255" s="36">
        <v>127</v>
      </c>
      <c r="F255" s="36"/>
      <c r="G255" s="36"/>
      <c r="H255" s="36"/>
      <c r="I255" s="36"/>
      <c r="J255" s="36"/>
      <c r="K255" s="36"/>
    </row>
    <row r="256" spans="1:11" ht="19.5" customHeight="1" x14ac:dyDescent="0.25">
      <c r="A256" s="9">
        <v>44910.926199374997</v>
      </c>
      <c r="B256" s="36">
        <v>279</v>
      </c>
      <c r="C256" s="10" t="s">
        <v>29</v>
      </c>
      <c r="D256" s="10" t="s">
        <v>29</v>
      </c>
      <c r="E256" s="36">
        <v>127</v>
      </c>
      <c r="F256" s="36"/>
      <c r="G256" s="36"/>
      <c r="H256" s="36"/>
      <c r="I256" s="36"/>
      <c r="J256" s="36"/>
      <c r="K256" s="36"/>
    </row>
    <row r="257" spans="1:11" ht="19.5" customHeight="1" x14ac:dyDescent="0.25">
      <c r="A257" s="33">
        <v>44910.92620396991</v>
      </c>
      <c r="B257" s="34">
        <v>268</v>
      </c>
      <c r="C257" s="35" t="s">
        <v>29</v>
      </c>
      <c r="D257" s="35" t="s">
        <v>29</v>
      </c>
      <c r="E257" s="34">
        <v>129</v>
      </c>
      <c r="F257" s="34"/>
      <c r="G257" s="34"/>
      <c r="H257" s="34"/>
      <c r="I257" s="34"/>
      <c r="J257" s="34"/>
      <c r="K257" s="34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Time_x000d__x000a__x000d__x000a_TBL_CUR[TIME]" sqref="A5" xr:uid="{0A44BC46-94AF-4AAD-ADD7-8D53FA74A972}"/>
    <dataValidation allowBlank="1" showInputMessage="1" showErrorMessage="1" prompt="TBL_CUR[CH1]" sqref="B5" xr:uid="{72E59391-E46C-4DA8-95B9-3A6B1FB825C8}"/>
    <dataValidation allowBlank="1" showInputMessage="1" showErrorMessage="1" prompt="TBL_CUR[CH2]" sqref="C5" xr:uid="{92C24195-8372-4B81-81A4-D73F0A947CA4}"/>
    <dataValidation allowBlank="1" showInputMessage="1" showErrorMessage="1" prompt="TBL_CUR[CH3]" sqref="D5" xr:uid="{4935FA74-372C-4014-A5F3-8517D91E9695}"/>
    <dataValidation allowBlank="1" showInputMessage="1" showErrorMessage="1" prompt="TBL_CUR[CH4]" sqref="E5" xr:uid="{2FAD667D-BF3B-42B5-8F6D-0DA29AB387E9}"/>
    <dataValidation allowBlank="1" showInputMessage="1" showErrorMessage="1" prompt="TBL_CUR[CH5]" sqref="F5" xr:uid="{04EC656C-E443-4985-8479-5B40B695F38F}"/>
    <dataValidation allowBlank="1" showInputMessage="1" showErrorMessage="1" prompt="TBL_CUR[CH6]" sqref="G5" xr:uid="{EB169A70-62E2-4FD4-B09B-369D3A30985D}"/>
    <dataValidation allowBlank="1" showInputMessage="1" showErrorMessage="1" prompt="TBL_CUR[CH7]" sqref="H5" xr:uid="{F2E6091F-4858-4F95-912B-7D62DC968548}"/>
    <dataValidation allowBlank="1" showInputMessage="1" showErrorMessage="1" prompt="TBL_CUR[CH8]" sqref="I5" xr:uid="{F92CDED7-4EC0-4E3B-BB0F-29B68BE4A782}"/>
    <dataValidation allowBlank="1" showInputMessage="1" showErrorMessage="1" prompt="TBL_CUR[CH9]" sqref="J5" xr:uid="{ED4CA1EA-6F9F-4455-816F-FAEF11463023}"/>
    <dataValidation allowBlank="1" showInputMessage="1" showErrorMessage="1" prompt="TBL_CUR[CH10]" sqref="K5" xr:uid="{2C9B37FC-9BE4-4E88-B6A6-3B1629D8BE07}"/>
    <dataValidation allowBlank="1" showInputMessage="1" showErrorMessage="1" prompt="Time_x000d__x000a__x000d__x000a_TBL_HST[TIME]" sqref="A8:A257" xr:uid="{C034AB14-249A-485F-98B9-D242D08D8B35}"/>
    <dataValidation allowBlank="1" showInputMessage="1" showErrorMessage="1" prompt="TBL_HST[CH1]" sqref="B8:B257" xr:uid="{0AADE384-5FDB-4B16-8C32-6F21BD53D7E6}"/>
    <dataValidation allowBlank="1" showInputMessage="1" showErrorMessage="1" prompt="TBL_HST[CH2]" sqref="C8:C257" xr:uid="{F0D9550A-F7EA-4B99-BDF3-09C40B9BE077}"/>
    <dataValidation allowBlank="1" showInputMessage="1" showErrorMessage="1" prompt="TBL_HST[CH3]" sqref="D8:D257" xr:uid="{EE2CF7ED-D144-4948-A767-4502FC346C17}"/>
    <dataValidation allowBlank="1" showInputMessage="1" showErrorMessage="1" prompt="TBL_HST[CH4]" sqref="E8:E257" xr:uid="{89DEFD7B-75F1-448A-ABA4-51773D8BCC86}"/>
    <dataValidation allowBlank="1" showInputMessage="1" showErrorMessage="1" prompt="TBL_HST[CH5]" sqref="F8:F257" xr:uid="{22AD870E-6A80-4111-85A9-56D319FD02C2}"/>
    <dataValidation allowBlank="1" showInputMessage="1" showErrorMessage="1" prompt="TBL_HST[CH6]" sqref="G8:G257" xr:uid="{9B038AF2-A515-4357-AE3F-204794E3356B}"/>
    <dataValidation allowBlank="1" showInputMessage="1" showErrorMessage="1" prompt="TBL_HST[CH7]" sqref="H8:H257" xr:uid="{21B8EF09-CAE4-47F2-B022-806FDB442BEB}"/>
    <dataValidation allowBlank="1" showInputMessage="1" showErrorMessage="1" prompt="TBL_HST[CH8]" sqref="I8:I257" xr:uid="{62F95BCB-BA35-44DA-8830-66AE67545CB0}"/>
    <dataValidation allowBlank="1" showInputMessage="1" showErrorMessage="1" prompt="TBL_HST[CH9]" sqref="J8:J257" xr:uid="{EAC39D10-6C53-437E-AF32-AD8F66ED9D96}"/>
    <dataValidation allowBlank="1" showInputMessage="1" showErrorMessage="1" prompt="TBL_HST[CH10]" sqref="K8:K257" xr:uid="{D60FFBD2-B6A2-4978-9EF7-7C81755FCF5B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16B94-8CBD-42F0-A3CF-B82FD179CFDA}">
  <dimension ref="A1:J5"/>
  <sheetViews>
    <sheetView workbookViewId="0">
      <selection sqref="A1:H1"/>
    </sheetView>
  </sheetViews>
  <sheetFormatPr defaultRowHeight="15" x14ac:dyDescent="0.25"/>
  <cols>
    <col min="1" max="10" width="11.5703125" customWidth="1"/>
  </cols>
  <sheetData>
    <row r="1" spans="1:10" ht="30.75" x14ac:dyDescent="0.55000000000000004">
      <c r="A1" s="62" t="s">
        <v>48</v>
      </c>
      <c r="B1" s="62"/>
      <c r="C1" s="62"/>
      <c r="D1" s="62"/>
      <c r="E1" s="62"/>
      <c r="F1" s="62"/>
      <c r="G1" s="62"/>
      <c r="H1" s="62"/>
    </row>
    <row r="2" spans="1:10" ht="16.5" x14ac:dyDescent="0.25">
      <c r="A2" s="63" t="s">
        <v>49</v>
      </c>
      <c r="B2" s="63"/>
      <c r="C2" s="63"/>
      <c r="D2" s="63"/>
      <c r="E2" s="63"/>
      <c r="F2" s="63"/>
      <c r="G2" s="63"/>
      <c r="H2" s="63"/>
    </row>
    <row r="3" spans="1:10" ht="17.45" customHeight="1" x14ac:dyDescent="0.25"/>
    <row r="4" spans="1:10" ht="19.5" customHeight="1" x14ac:dyDescent="0.25">
      <c r="A4" s="56" t="s">
        <v>30</v>
      </c>
      <c r="B4" s="57" t="s">
        <v>31</v>
      </c>
      <c r="C4" s="57" t="s">
        <v>32</v>
      </c>
      <c r="D4" s="57" t="s">
        <v>33</v>
      </c>
      <c r="E4" s="57" t="s">
        <v>34</v>
      </c>
      <c r="F4" s="57" t="s">
        <v>35</v>
      </c>
      <c r="G4" s="57" t="s">
        <v>36</v>
      </c>
      <c r="H4" s="57" t="s">
        <v>37</v>
      </c>
      <c r="I4" s="57" t="s">
        <v>38</v>
      </c>
      <c r="J4" s="57" t="s">
        <v>39</v>
      </c>
    </row>
    <row r="5" spans="1:10" ht="27" customHeight="1" x14ac:dyDescent="0.25">
      <c r="A5" s="44"/>
      <c r="B5" s="44"/>
      <c r="C5" s="44"/>
      <c r="D5" s="44"/>
      <c r="E5" s="44"/>
      <c r="F5" s="44"/>
      <c r="G5" s="44"/>
      <c r="H5" s="44"/>
      <c r="I5" s="44"/>
      <c r="J5" s="44"/>
    </row>
  </sheetData>
  <mergeCells count="2">
    <mergeCell ref="A1:H1"/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3E1A4-1E09-4174-BA27-97317DB5E4D9}">
  <dimension ref="A1:E13"/>
  <sheetViews>
    <sheetView workbookViewId="0">
      <selection activeCell="C29" sqref="C29"/>
    </sheetView>
  </sheetViews>
  <sheetFormatPr defaultRowHeight="15" x14ac:dyDescent="0.25"/>
  <cols>
    <col min="1" max="1" width="30.7109375" style="41" customWidth="1"/>
    <col min="2" max="2" width="0.140625" style="41" customWidth="1"/>
    <col min="3" max="3" width="30.7109375" style="41" customWidth="1"/>
    <col min="4" max="16384" width="9.140625" style="41"/>
  </cols>
  <sheetData>
    <row r="1" spans="1:5" ht="30.75" x14ac:dyDescent="0.55000000000000004">
      <c r="A1" s="64" t="s">
        <v>40</v>
      </c>
      <c r="B1" s="64"/>
      <c r="C1" s="64"/>
      <c r="D1" s="64"/>
      <c r="E1" s="64"/>
    </row>
    <row r="2" spans="1:5" ht="50.1" customHeight="1" x14ac:dyDescent="0.25">
      <c r="A2" s="65" t="s">
        <v>41</v>
      </c>
      <c r="B2" s="65"/>
      <c r="C2" s="65"/>
      <c r="D2" s="65"/>
      <c r="E2" s="65"/>
    </row>
    <row r="3" spans="1:5" ht="4.5" customHeight="1" x14ac:dyDescent="0.25"/>
    <row r="4" spans="1:5" ht="24" customHeight="1" x14ac:dyDescent="0.25">
      <c r="A4" s="55" t="s">
        <v>42</v>
      </c>
      <c r="B4" s="42">
        <v>150</v>
      </c>
      <c r="C4" s="43">
        <v>150</v>
      </c>
    </row>
    <row r="5" spans="1:5" ht="4.5" customHeight="1" x14ac:dyDescent="0.25"/>
    <row r="6" spans="1:5" ht="24" customHeight="1" x14ac:dyDescent="0.25">
      <c r="A6" s="55" t="s">
        <v>43</v>
      </c>
      <c r="B6" s="42">
        <v>15</v>
      </c>
      <c r="C6" s="43">
        <v>250</v>
      </c>
    </row>
    <row r="7" spans="1:5" ht="4.5" customHeight="1" x14ac:dyDescent="0.25"/>
    <row r="8" spans="1:5" ht="24" customHeight="1" x14ac:dyDescent="0.25">
      <c r="A8" s="55" t="s">
        <v>44</v>
      </c>
      <c r="B8" s="42">
        <v>10</v>
      </c>
      <c r="C8" s="43">
        <v>10</v>
      </c>
    </row>
    <row r="9" spans="1:5" ht="4.5" customHeight="1" x14ac:dyDescent="0.25"/>
    <row r="10" spans="1:5" ht="24" customHeight="1" x14ac:dyDescent="0.25">
      <c r="A10" s="55" t="s">
        <v>45</v>
      </c>
      <c r="B10" s="42" t="s">
        <v>46</v>
      </c>
      <c r="C10" s="43" t="s">
        <v>46</v>
      </c>
    </row>
    <row r="13" spans="1:5" ht="50.1" customHeight="1" x14ac:dyDescent="0.25">
      <c r="A13" s="66" t="s">
        <v>47</v>
      </c>
      <c r="B13" s="66"/>
      <c r="C13" s="66"/>
      <c r="D13" s="66"/>
      <c r="E13" s="66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C1C83B6E-7B56-4D8E-B1FB-EC7A576E0692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1C6139DE-AF45-4CA2-BF70-BB987F2A1651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F74EAD51-5419-4A9B-83D3-D00C88785352}">
      <formula1>1</formula1>
      <formula2>1000</formula2>
    </dataValidation>
    <dataValidation type="list" errorStyle="information" allowBlank="1" showInputMessage="1" sqref="C10" xr:uid="{D1EEFF76-54A4-4C45-B0CE-194DC712FA90}">
      <formula1>"Newest first,Newest last"</formula1>
    </dataValidation>
  </dataValidations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37FA0-28A4-4425-BB0B-C10E9B0CC289}">
  <sheetPr codeName="Sheet10"/>
  <dimension ref="A1:AH2445"/>
  <sheetViews>
    <sheetView topLeftCell="B1" zoomScaleNormal="100" workbookViewId="0">
      <selection activeCell="E46" sqref="E46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/>
      <c r="D4" s="10"/>
      <c r="E4" s="10"/>
      <c r="F4" s="10"/>
      <c r="G4" s="10"/>
      <c r="H4" s="11"/>
      <c r="I4" s="12" t="s">
        <v>8</v>
      </c>
      <c r="J4" s="13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/>
      <c r="D5" s="10"/>
      <c r="E5" s="10"/>
      <c r="F5" s="10"/>
      <c r="G5" s="10"/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/>
      <c r="D6" s="10"/>
      <c r="E6" s="10"/>
      <c r="F6" s="10"/>
      <c r="G6" s="10"/>
      <c r="H6" s="11"/>
      <c r="I6" s="15" t="s">
        <v>9</v>
      </c>
      <c r="J6" s="16" t="s">
        <v>10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/>
      <c r="D7" s="10"/>
      <c r="E7" s="10"/>
      <c r="F7" s="10"/>
      <c r="G7" s="10"/>
      <c r="H7" s="11"/>
      <c r="I7" s="17" t="s">
        <v>11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/>
      <c r="D8" s="10"/>
      <c r="E8" s="10"/>
      <c r="F8" s="10"/>
      <c r="G8" s="10"/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/>
      <c r="D9" s="10"/>
      <c r="E9" s="10"/>
      <c r="F9" s="10"/>
      <c r="G9" s="10"/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/>
      <c r="D10" s="10"/>
      <c r="E10" s="10"/>
      <c r="F10" s="10"/>
      <c r="G10" s="10"/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/>
      <c r="D11" s="10"/>
      <c r="E11" s="10"/>
      <c r="F11" s="10"/>
      <c r="G11" s="10"/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/>
      <c r="D12" s="10"/>
      <c r="E12" s="10"/>
      <c r="F12" s="10"/>
      <c r="G12" s="10"/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/>
      <c r="D13" s="10"/>
      <c r="E13" s="10"/>
      <c r="F13" s="10"/>
      <c r="G13" s="10"/>
      <c r="H13" s="11"/>
      <c r="I13" s="24" t="s">
        <v>16</v>
      </c>
      <c r="J13" s="25">
        <f>J12+J7</f>
        <v>636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/>
      <c r="D14" s="10"/>
      <c r="E14" s="10"/>
      <c r="F14" s="10"/>
      <c r="G14" s="10"/>
      <c r="H14" s="11"/>
      <c r="I14" s="24" t="s">
        <v>17</v>
      </c>
      <c r="J14" s="26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/>
      <c r="D15" s="10"/>
      <c r="E15" s="10"/>
      <c r="F15" s="10"/>
      <c r="G15" s="10"/>
      <c r="H15" s="11"/>
      <c r="I15" s="17" t="s">
        <v>18</v>
      </c>
      <c r="J15" s="21">
        <f>J13-J14</f>
        <v>636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/>
      <c r="D16" s="10"/>
      <c r="E16" s="10"/>
      <c r="F16" s="10"/>
      <c r="G16" s="10"/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/>
      <c r="D17" s="10"/>
      <c r="E17" s="10"/>
      <c r="F17" s="10"/>
      <c r="G17" s="10"/>
      <c r="H17" s="11"/>
      <c r="I17" s="15" t="s">
        <v>19</v>
      </c>
      <c r="J17" s="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/>
      <c r="D18" s="10"/>
      <c r="E18" s="10"/>
      <c r="F18" s="10"/>
      <c r="G18" s="10"/>
      <c r="H18" s="11"/>
      <c r="I18" s="24" t="s">
        <v>20</v>
      </c>
      <c r="J18" s="2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/>
      <c r="D19" s="10"/>
      <c r="E19" s="10"/>
      <c r="F19" s="10"/>
      <c r="G19" s="10"/>
      <c r="H19" s="11"/>
      <c r="I19" s="24" t="s">
        <v>21</v>
      </c>
      <c r="J19" s="2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/>
      <c r="D20" s="10"/>
      <c r="E20" s="10"/>
      <c r="F20" s="10"/>
      <c r="G20" s="10"/>
      <c r="H20" s="11"/>
      <c r="I20" s="17" t="s">
        <v>55</v>
      </c>
      <c r="J20" s="51">
        <f>J18-J19</f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/>
      <c r="D21" s="10"/>
      <c r="E21" s="10"/>
      <c r="F21" s="10"/>
      <c r="G21" s="10"/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/>
      <c r="D22" s="10"/>
      <c r="E22" s="10"/>
      <c r="F22" s="10"/>
      <c r="G22" s="10"/>
      <c r="H22" s="11"/>
      <c r="I22" s="15" t="s">
        <v>22</v>
      </c>
      <c r="J22" s="16">
        <f>COUNT(E4:E253)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/>
      <c r="D23" s="10"/>
      <c r="E23" s="10"/>
      <c r="F23" s="10"/>
      <c r="G23" s="10"/>
      <c r="H23" s="11"/>
      <c r="I23" s="17" t="s">
        <v>23</v>
      </c>
      <c r="J23" s="21" t="e">
        <f>J15/J22</f>
        <v>#DIV/0!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/>
      <c r="D24" s="10"/>
      <c r="E24" s="10"/>
      <c r="F24" s="10"/>
      <c r="G24" s="10"/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/>
      <c r="D25" s="10"/>
      <c r="E25" s="10"/>
      <c r="F25" s="10"/>
      <c r="G25" s="10"/>
      <c r="H25" s="11"/>
      <c r="I25" s="15" t="s">
        <v>24</v>
      </c>
      <c r="J25" s="16" t="e">
        <f>AVERAGE(E4:E1048576)</f>
        <v>#DIV/0!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/>
      <c r="D26" s="10"/>
      <c r="E26" s="10"/>
      <c r="F26" s="10"/>
      <c r="G26" s="10"/>
      <c r="H26" s="11"/>
      <c r="I26" s="24" t="s">
        <v>25</v>
      </c>
      <c r="J26" s="25" t="e">
        <f>AVERAGE(F4:F1048576)</f>
        <v>#DIV/0!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/>
      <c r="D27" s="10"/>
      <c r="E27" s="10"/>
      <c r="F27" s="10"/>
      <c r="G27" s="10"/>
      <c r="H27" s="11"/>
      <c r="I27" s="17" t="s">
        <v>26</v>
      </c>
      <c r="J27" s="21" t="e">
        <f>AVERAGE(D5:D1048576)</f>
        <v>#DIV/0!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/>
      <c r="D28" s="10"/>
      <c r="E28" s="10"/>
      <c r="F28" s="10"/>
      <c r="G28" s="10"/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/>
      <c r="D29" s="10"/>
      <c r="E29" s="10"/>
      <c r="F29" s="10"/>
      <c r="G29" s="10"/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/>
      <c r="D30" s="10"/>
      <c r="E30" s="10"/>
      <c r="F30" s="10"/>
      <c r="G30" s="10"/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/>
      <c r="D31" s="10"/>
      <c r="E31" s="10"/>
      <c r="F31" s="10"/>
      <c r="G31" s="10"/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/>
      <c r="D32" s="10"/>
      <c r="E32" s="10"/>
      <c r="F32" s="10"/>
      <c r="G32" s="10"/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/>
      <c r="D33" s="10"/>
      <c r="E33" s="10"/>
      <c r="F33" s="10"/>
      <c r="G33" s="10"/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/>
      <c r="D34" s="10"/>
      <c r="E34" s="10"/>
      <c r="F34" s="10"/>
      <c r="G34" s="10"/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/>
      <c r="D35" s="10"/>
      <c r="E35" s="10"/>
      <c r="F35" s="10"/>
      <c r="G35" s="10"/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/>
      <c r="D36" s="10"/>
      <c r="E36" s="10"/>
      <c r="F36" s="10"/>
      <c r="G36" s="10"/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/>
      <c r="D37" s="10"/>
      <c r="E37" s="10"/>
      <c r="F37" s="10"/>
      <c r="G37" s="10"/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/>
      <c r="D38" s="10"/>
      <c r="E38" s="10"/>
      <c r="F38" s="10"/>
      <c r="G38" s="10"/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/>
      <c r="D39" s="10"/>
      <c r="E39" s="10"/>
      <c r="F39" s="10"/>
      <c r="G39" s="10"/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/>
      <c r="D40" s="10"/>
      <c r="E40" s="10"/>
      <c r="F40" s="10"/>
      <c r="G40" s="10"/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/>
      <c r="D41" s="10"/>
      <c r="E41" s="10"/>
      <c r="F41" s="10"/>
      <c r="G41" s="10"/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/>
      <c r="D42" s="10"/>
      <c r="E42" s="10"/>
      <c r="F42" s="10"/>
      <c r="G42" s="10"/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/>
      <c r="D43" s="10"/>
      <c r="E43" s="10"/>
      <c r="F43" s="10"/>
      <c r="G43" s="10"/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/>
      <c r="D44" s="10"/>
      <c r="E44" s="10"/>
      <c r="F44" s="10"/>
      <c r="G44" s="10"/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/>
      <c r="D45" s="10"/>
      <c r="E45" s="10"/>
      <c r="F45" s="10"/>
      <c r="G45" s="10"/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/>
      <c r="D46" s="10"/>
      <c r="E46" s="10"/>
      <c r="F46" s="10"/>
      <c r="G46" s="10"/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/>
      <c r="D47" s="10"/>
      <c r="E47" s="10"/>
      <c r="F47" s="10"/>
      <c r="G47" s="10"/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/>
      <c r="D48" s="10"/>
      <c r="E48" s="10"/>
      <c r="F48" s="10"/>
      <c r="G48" s="10"/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/>
      <c r="D49" s="10"/>
      <c r="E49" s="10"/>
      <c r="F49" s="10"/>
      <c r="G49" s="10"/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/>
      <c r="D50" s="10"/>
      <c r="E50" s="10"/>
      <c r="F50" s="10"/>
      <c r="G50" s="10"/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/>
      <c r="D51" s="10"/>
      <c r="E51" s="10"/>
      <c r="F51" s="10"/>
      <c r="G51" s="10"/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/>
      <c r="D52" s="10"/>
      <c r="E52" s="10"/>
      <c r="F52" s="10"/>
      <c r="G52" s="10"/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/>
      <c r="D53" s="10"/>
      <c r="E53" s="10"/>
      <c r="F53" s="10"/>
      <c r="G53" s="10"/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/>
      <c r="D54" s="10"/>
      <c r="E54" s="10"/>
      <c r="F54" s="10"/>
      <c r="G54" s="10"/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/>
      <c r="D55" s="10"/>
      <c r="E55" s="10"/>
      <c r="F55" s="10"/>
      <c r="G55" s="10"/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/>
      <c r="D56" s="10"/>
      <c r="E56" s="10"/>
      <c r="F56" s="10"/>
      <c r="G56" s="10"/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D57" s="10"/>
      <c r="E57" s="10"/>
      <c r="F57" s="10"/>
      <c r="G57" s="10"/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D58" s="10"/>
      <c r="E58" s="10"/>
      <c r="F58" s="10"/>
      <c r="G58" s="10"/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D59" s="10"/>
      <c r="E59" s="10"/>
      <c r="F59" s="10"/>
      <c r="G59" s="10"/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D60" s="10"/>
      <c r="E60" s="10"/>
      <c r="F60" s="10"/>
      <c r="G60" s="10"/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D61" s="10"/>
      <c r="E61" s="10"/>
      <c r="F61" s="10"/>
      <c r="G61" s="10"/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D62" s="10"/>
      <c r="E62" s="10"/>
      <c r="F62" s="10"/>
      <c r="G62" s="10"/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D63" s="10"/>
      <c r="E63" s="10"/>
      <c r="F63" s="10"/>
      <c r="G63" s="10"/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D64" s="10"/>
      <c r="E64" s="10"/>
      <c r="F64" s="10"/>
      <c r="G64" s="10"/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D65" s="10"/>
      <c r="E65" s="10"/>
      <c r="F65" s="10"/>
      <c r="G65" s="10"/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D66" s="10"/>
      <c r="E66" s="10"/>
      <c r="F66" s="10"/>
      <c r="G66" s="10"/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3"/>
      <c r="D67" s="34"/>
      <c r="E67" s="35"/>
      <c r="F67" s="35"/>
      <c r="G67" s="34"/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D68" s="10"/>
      <c r="E68" s="10"/>
      <c r="F68" s="10"/>
      <c r="G68" s="10"/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3"/>
      <c r="D69" s="34"/>
      <c r="E69" s="35"/>
      <c r="F69" s="35"/>
      <c r="G69" s="34"/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D70" s="10"/>
      <c r="E70" s="10"/>
      <c r="F70" s="10"/>
      <c r="G70" s="10"/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3"/>
      <c r="D71" s="34"/>
      <c r="E71" s="35"/>
      <c r="F71" s="35"/>
      <c r="G71" s="34"/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3"/>
      <c r="D72" s="34"/>
      <c r="E72" s="35"/>
      <c r="F72" s="35"/>
      <c r="G72" s="34"/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 s="36"/>
      <c r="E73" s="36"/>
      <c r="F73" s="36"/>
      <c r="G73" s="36"/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 s="36"/>
      <c r="E74" s="36"/>
      <c r="F74" s="36"/>
      <c r="G74" s="36"/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 s="36"/>
      <c r="E75" s="36"/>
      <c r="F75" s="36"/>
      <c r="G75" s="36"/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 s="36"/>
      <c r="E76" s="36"/>
      <c r="F76" s="36"/>
      <c r="G76" s="36"/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 s="36"/>
      <c r="E77" s="36"/>
      <c r="F77" s="36"/>
      <c r="G77" s="36"/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 s="36"/>
      <c r="E78" s="36"/>
      <c r="F78" s="36"/>
      <c r="G78" s="36"/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 s="36"/>
      <c r="E79" s="36"/>
      <c r="F79" s="36"/>
      <c r="G79" s="36"/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 s="36"/>
      <c r="E80" s="36"/>
      <c r="F80" s="36"/>
      <c r="G80" s="36"/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 s="36"/>
      <c r="E81" s="10"/>
      <c r="F81" s="10"/>
      <c r="G81" s="36"/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 s="36"/>
      <c r="E82" s="10"/>
      <c r="F82" s="10"/>
      <c r="G82" s="36"/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 s="36"/>
      <c r="E83" s="10"/>
      <c r="F83" s="10"/>
      <c r="G83" s="36"/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6"/>
      <c r="E84" s="10"/>
      <c r="F84" s="10"/>
      <c r="G84" s="36"/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6"/>
      <c r="E85" s="10"/>
      <c r="F85" s="10"/>
      <c r="G85" s="36"/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3"/>
      <c r="D86" s="34"/>
      <c r="E86" s="35"/>
      <c r="F86" s="35"/>
      <c r="G86" s="34"/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7"/>
      <c r="E87" s="8"/>
      <c r="F87" s="8"/>
      <c r="G87" s="8"/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7"/>
      <c r="E88" s="8"/>
      <c r="F88" s="8"/>
      <c r="G88" s="8"/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7"/>
      <c r="E89" s="8"/>
      <c r="F89" s="8"/>
      <c r="G89" s="8"/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7"/>
      <c r="E90" s="8"/>
      <c r="F90" s="8"/>
      <c r="G90" s="8"/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39"/>
      <c r="E91" s="8"/>
      <c r="F91" s="8"/>
      <c r="G91" s="8"/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7"/>
      <c r="E92" s="8"/>
      <c r="F92" s="8"/>
      <c r="G92" s="8"/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7"/>
      <c r="E93" s="8"/>
      <c r="F93" s="8"/>
      <c r="G93" s="8"/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39"/>
      <c r="E94" s="8"/>
      <c r="F94" s="8"/>
      <c r="G94" s="8"/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EC9A94B4-5E7E-4AC6-BA85-2B6F5C285D78}"/>
    <dataValidation allowBlank="1" showInputMessage="1" showErrorMessage="1" prompt="TBL_HST[CH2]" sqref="E4:E86" xr:uid="{34AEE4BA-883F-470E-9EB9-B0818F973D39}"/>
    <dataValidation allowBlank="1" showInputMessage="1" showErrorMessage="1" prompt="TBL_HST[CH4]" sqref="G4:G86" xr:uid="{0A248F17-D12B-47F5-9AB9-24D10841B6EA}"/>
    <dataValidation allowBlank="1" showInputMessage="1" showErrorMessage="1" prompt="TBL_HST[CH1]" sqref="D4:D86" xr:uid="{E8740F95-4B99-4B29-855D-DA47CFB6608D}"/>
    <dataValidation allowBlank="1" showInputMessage="1" showErrorMessage="1" prompt="Time_x000d__x000a__x000d__x000a_TBL_HST[TIME]" sqref="C4:C86" xr:uid="{BF218D7B-0919-491A-9BAB-BAE889AF56DC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E5A9F-321E-4E4C-88FE-C48ACFE8CA49}">
  <sheetPr codeName="Sheet11"/>
  <dimension ref="A1:AH2445"/>
  <sheetViews>
    <sheetView topLeftCell="B1" zoomScaleNormal="100" workbookViewId="0">
      <selection activeCell="J42" sqref="J42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44910.81249358796</v>
      </c>
      <c r="D4" s="36">
        <v>330</v>
      </c>
      <c r="E4" s="10">
        <v>17</v>
      </c>
      <c r="F4" s="10">
        <v>73</v>
      </c>
      <c r="G4" s="36">
        <v>90</v>
      </c>
      <c r="H4" s="11"/>
      <c r="I4" s="12" t="s">
        <v>8</v>
      </c>
      <c r="J4" s="13">
        <v>1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44910.81249822917</v>
      </c>
      <c r="D5" s="36">
        <v>316</v>
      </c>
      <c r="E5" s="10">
        <v>16</v>
      </c>
      <c r="F5" s="10">
        <v>70</v>
      </c>
      <c r="G5" s="36">
        <v>86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44910.812502916669</v>
      </c>
      <c r="D6" s="36">
        <v>316</v>
      </c>
      <c r="E6" s="10">
        <v>17</v>
      </c>
      <c r="F6" s="10">
        <v>70</v>
      </c>
      <c r="G6" s="36">
        <v>87</v>
      </c>
      <c r="H6" s="11"/>
      <c r="I6" s="15" t="s">
        <v>9</v>
      </c>
      <c r="J6" s="16" t="s">
        <v>28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44910.812507523151</v>
      </c>
      <c r="D7" s="36">
        <v>313</v>
      </c>
      <c r="E7" s="10">
        <v>18</v>
      </c>
      <c r="F7" s="10">
        <v>69</v>
      </c>
      <c r="G7" s="36">
        <v>87</v>
      </c>
      <c r="H7" s="11"/>
      <c r="I7" s="17" t="s">
        <v>11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44910.812512164353</v>
      </c>
      <c r="D8" s="36">
        <v>314</v>
      </c>
      <c r="E8" s="10">
        <v>18</v>
      </c>
      <c r="F8" s="10">
        <v>69</v>
      </c>
      <c r="G8" s="36">
        <v>87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44910.812516805556</v>
      </c>
      <c r="D9" s="36">
        <v>313</v>
      </c>
      <c r="E9" s="10">
        <v>18</v>
      </c>
      <c r="F9" s="10">
        <v>70</v>
      </c>
      <c r="G9" s="36">
        <v>88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44910.812521446758</v>
      </c>
      <c r="D10" s="36">
        <v>315</v>
      </c>
      <c r="E10" s="10">
        <v>18</v>
      </c>
      <c r="F10" s="10">
        <v>69</v>
      </c>
      <c r="G10" s="36">
        <v>87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44910.812526145834</v>
      </c>
      <c r="D11" s="36">
        <v>317</v>
      </c>
      <c r="E11" s="10">
        <v>17</v>
      </c>
      <c r="F11" s="10">
        <v>71</v>
      </c>
      <c r="G11" s="36">
        <v>88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44910.812530798612</v>
      </c>
      <c r="D12" s="36">
        <v>310</v>
      </c>
      <c r="E12" s="10">
        <v>18</v>
      </c>
      <c r="F12" s="10">
        <v>70</v>
      </c>
      <c r="G12" s="36">
        <v>88</v>
      </c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44910.812535393517</v>
      </c>
      <c r="D13" s="36">
        <v>312</v>
      </c>
      <c r="E13" s="10">
        <v>18</v>
      </c>
      <c r="F13" s="10">
        <v>70</v>
      </c>
      <c r="G13" s="36">
        <v>88</v>
      </c>
      <c r="H13" s="11"/>
      <c r="I13" s="24" t="s">
        <v>16</v>
      </c>
      <c r="J13" s="25">
        <f>J12+J7</f>
        <v>636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44910.812540092593</v>
      </c>
      <c r="D14" s="36">
        <v>315</v>
      </c>
      <c r="E14" s="10">
        <v>18</v>
      </c>
      <c r="F14" s="10">
        <v>71</v>
      </c>
      <c r="G14" s="36">
        <v>89</v>
      </c>
      <c r="H14" s="11"/>
      <c r="I14" s="24" t="s">
        <v>17</v>
      </c>
      <c r="J14" s="26">
        <v>626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44910.812544733795</v>
      </c>
      <c r="D15" s="36">
        <v>312</v>
      </c>
      <c r="E15" s="10">
        <v>18</v>
      </c>
      <c r="F15" s="10">
        <v>71</v>
      </c>
      <c r="G15" s="36">
        <v>89</v>
      </c>
      <c r="H15" s="11"/>
      <c r="I15" s="17" t="s">
        <v>18</v>
      </c>
      <c r="J15" s="21">
        <f>J13-J14</f>
        <v>10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44910.812549282404</v>
      </c>
      <c r="D16" s="36">
        <v>308</v>
      </c>
      <c r="E16" s="10"/>
      <c r="F16" s="10" t="s">
        <v>29</v>
      </c>
      <c r="G16" s="36">
        <v>89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44910.81255396991</v>
      </c>
      <c r="D17" s="36">
        <v>311</v>
      </c>
      <c r="E17" s="10">
        <v>19</v>
      </c>
      <c r="F17" s="10">
        <v>71</v>
      </c>
      <c r="G17" s="36">
        <v>90</v>
      </c>
      <c r="H17" s="11"/>
      <c r="I17" s="15" t="s">
        <v>19</v>
      </c>
      <c r="J17" s="16">
        <v>77.5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44910.812558622689</v>
      </c>
      <c r="D18" s="36">
        <v>313</v>
      </c>
      <c r="E18" s="10">
        <v>18</v>
      </c>
      <c r="F18" s="10">
        <v>73</v>
      </c>
      <c r="G18" s="36">
        <v>91</v>
      </c>
      <c r="H18" s="11"/>
      <c r="I18" s="24" t="s">
        <v>20</v>
      </c>
      <c r="J18" s="25">
        <v>79.099999999999994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44910.812563263891</v>
      </c>
      <c r="D19" s="36">
        <v>310</v>
      </c>
      <c r="E19" s="10">
        <v>19</v>
      </c>
      <c r="F19" s="10">
        <v>71</v>
      </c>
      <c r="G19" s="36">
        <v>90</v>
      </c>
      <c r="H19" s="11"/>
      <c r="I19" s="24" t="s">
        <v>21</v>
      </c>
      <c r="J19" s="25">
        <v>65.8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44910.812567858797</v>
      </c>
      <c r="D20" s="36">
        <v>308</v>
      </c>
      <c r="E20" s="10">
        <v>19</v>
      </c>
      <c r="F20" s="10">
        <v>71</v>
      </c>
      <c r="G20" s="36">
        <v>90</v>
      </c>
      <c r="H20" s="11"/>
      <c r="I20" s="17" t="s">
        <v>55</v>
      </c>
      <c r="J20" s="51">
        <f>J18-J19</f>
        <v>13.299999999999997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44910.812572557872</v>
      </c>
      <c r="D21" s="36">
        <v>313</v>
      </c>
      <c r="E21" s="10">
        <v>18</v>
      </c>
      <c r="F21" s="10">
        <v>74</v>
      </c>
      <c r="G21" s="36">
        <v>92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44910.812577164354</v>
      </c>
      <c r="D22" s="36">
        <v>306</v>
      </c>
      <c r="E22" s="10">
        <v>20</v>
      </c>
      <c r="F22" s="10">
        <v>71</v>
      </c>
      <c r="G22" s="36">
        <v>91</v>
      </c>
      <c r="H22" s="11"/>
      <c r="I22" s="15" t="s">
        <v>22</v>
      </c>
      <c r="J22" s="16">
        <f>COUNT(E4:E253)</f>
        <v>65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44910.812581805556</v>
      </c>
      <c r="D23" s="36">
        <v>310</v>
      </c>
      <c r="E23" s="10">
        <v>18</v>
      </c>
      <c r="F23" s="10">
        <v>73</v>
      </c>
      <c r="G23" s="36">
        <v>91</v>
      </c>
      <c r="H23" s="11"/>
      <c r="I23" s="17" t="s">
        <v>23</v>
      </c>
      <c r="J23" s="21">
        <f>J15/J22</f>
        <v>0.15384615384615385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44910.812586446758</v>
      </c>
      <c r="D24" s="36">
        <v>307</v>
      </c>
      <c r="E24" s="10">
        <v>19</v>
      </c>
      <c r="F24" s="10">
        <v>74</v>
      </c>
      <c r="G24" s="36">
        <v>93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44910.812591041664</v>
      </c>
      <c r="D25" s="36">
        <v>305</v>
      </c>
      <c r="E25" s="10">
        <v>20</v>
      </c>
      <c r="F25" s="10">
        <v>71</v>
      </c>
      <c r="G25" s="36">
        <v>91</v>
      </c>
      <c r="H25" s="11"/>
      <c r="I25" s="15" t="s">
        <v>24</v>
      </c>
      <c r="J25" s="16">
        <f>AVERAGE(E4:E1048576)</f>
        <v>22.707692307692309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44910.812595694442</v>
      </c>
      <c r="D26" s="36">
        <v>309</v>
      </c>
      <c r="E26" s="10">
        <v>19</v>
      </c>
      <c r="F26" s="10">
        <v>74</v>
      </c>
      <c r="G26" s="36">
        <v>93</v>
      </c>
      <c r="H26" s="11"/>
      <c r="I26" s="24" t="s">
        <v>25</v>
      </c>
      <c r="J26" s="25">
        <f>AVERAGE(F4:F1048576)</f>
        <v>72.507692307692309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44910.812600347221</v>
      </c>
      <c r="D27" s="36">
        <v>310</v>
      </c>
      <c r="E27" s="10">
        <v>20</v>
      </c>
      <c r="F27" s="10">
        <v>72</v>
      </c>
      <c r="G27" s="36">
        <v>92</v>
      </c>
      <c r="H27" s="11"/>
      <c r="I27" s="17" t="s">
        <v>26</v>
      </c>
      <c r="J27" s="21">
        <f>AVERAGE(D5:D1048576)</f>
        <v>303.89705882352939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44910.812604988423</v>
      </c>
      <c r="D28" s="36">
        <v>307</v>
      </c>
      <c r="E28" s="10">
        <v>20</v>
      </c>
      <c r="F28" s="10">
        <v>73</v>
      </c>
      <c r="G28" s="36">
        <v>93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44910.812609629633</v>
      </c>
      <c r="D29" s="36">
        <v>310</v>
      </c>
      <c r="E29" s="10">
        <v>19</v>
      </c>
      <c r="F29" s="10">
        <v>74</v>
      </c>
      <c r="G29" s="36">
        <v>93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44910.812614282404</v>
      </c>
      <c r="D30" s="36">
        <v>307</v>
      </c>
      <c r="E30" s="10">
        <v>20</v>
      </c>
      <c r="F30" s="10">
        <v>73</v>
      </c>
      <c r="G30" s="36">
        <v>93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44910.812618923614</v>
      </c>
      <c r="D31" s="36">
        <v>307</v>
      </c>
      <c r="E31" s="10">
        <v>20</v>
      </c>
      <c r="F31" s="10">
        <v>75</v>
      </c>
      <c r="G31" s="36">
        <v>95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44910.812623518519</v>
      </c>
      <c r="D32" s="36">
        <v>304</v>
      </c>
      <c r="E32" s="10">
        <v>20</v>
      </c>
      <c r="F32" s="10">
        <v>73</v>
      </c>
      <c r="G32" s="36">
        <v>93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44910.812628217594</v>
      </c>
      <c r="D33" s="36">
        <v>310</v>
      </c>
      <c r="E33" s="10">
        <v>20</v>
      </c>
      <c r="F33" s="10">
        <v>75</v>
      </c>
      <c r="G33" s="36">
        <v>95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44910.812632858797</v>
      </c>
      <c r="D34" s="36">
        <v>306</v>
      </c>
      <c r="E34" s="10">
        <v>19</v>
      </c>
      <c r="F34" s="10">
        <v>76</v>
      </c>
      <c r="G34" s="36">
        <v>95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44910.812637453702</v>
      </c>
      <c r="D35" s="36">
        <v>301</v>
      </c>
      <c r="E35" s="10">
        <v>21</v>
      </c>
      <c r="F35" s="10">
        <v>72</v>
      </c>
      <c r="G35" s="36">
        <v>93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44910.812642152778</v>
      </c>
      <c r="D36" s="36">
        <v>311</v>
      </c>
      <c r="E36" s="10">
        <v>20</v>
      </c>
      <c r="F36" s="10">
        <v>76</v>
      </c>
      <c r="G36" s="36">
        <v>96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44910.812646701386</v>
      </c>
      <c r="D37" s="36">
        <v>301</v>
      </c>
      <c r="E37" s="10">
        <v>20</v>
      </c>
      <c r="F37" s="10">
        <v>75</v>
      </c>
      <c r="G37" s="36">
        <v>95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44910.812651342596</v>
      </c>
      <c r="D38" s="36">
        <v>306</v>
      </c>
      <c r="E38" s="10">
        <v>21</v>
      </c>
      <c r="F38" s="10">
        <v>74</v>
      </c>
      <c r="G38" s="36">
        <v>95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44910.812655995367</v>
      </c>
      <c r="D39" s="36">
        <v>303</v>
      </c>
      <c r="E39" s="10">
        <v>21</v>
      </c>
      <c r="F39" s="10">
        <v>74</v>
      </c>
      <c r="G39" s="36">
        <v>95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44910.812660636577</v>
      </c>
      <c r="D40" s="36">
        <v>307</v>
      </c>
      <c r="E40" s="10">
        <v>22</v>
      </c>
      <c r="F40" s="10">
        <v>74</v>
      </c>
      <c r="G40" s="36">
        <v>96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44910.812665231482</v>
      </c>
      <c r="D41" s="36">
        <v>303</v>
      </c>
      <c r="E41" s="10">
        <v>22</v>
      </c>
      <c r="F41" s="10">
        <v>73</v>
      </c>
      <c r="G41" s="36">
        <v>95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44910.812669930558</v>
      </c>
      <c r="D42" s="36">
        <v>309</v>
      </c>
      <c r="E42" s="10">
        <v>20</v>
      </c>
      <c r="F42" s="10">
        <v>74</v>
      </c>
      <c r="G42" s="36">
        <v>94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44910.812674525463</v>
      </c>
      <c r="D43" s="36">
        <v>304</v>
      </c>
      <c r="E43" s="10">
        <v>22</v>
      </c>
      <c r="F43" s="10">
        <v>73</v>
      </c>
      <c r="G43" s="36">
        <v>95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44910.812679131945</v>
      </c>
      <c r="D44" s="36">
        <v>304</v>
      </c>
      <c r="E44" s="10">
        <v>21</v>
      </c>
      <c r="F44" s="10">
        <v>73</v>
      </c>
      <c r="G44" s="36">
        <v>94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44910.812683773147</v>
      </c>
      <c r="D45" s="36">
        <v>305</v>
      </c>
      <c r="E45" s="10">
        <v>21</v>
      </c>
      <c r="F45" s="10">
        <v>73</v>
      </c>
      <c r="G45" s="36">
        <v>94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44910.812688414349</v>
      </c>
      <c r="D46" s="36">
        <v>305</v>
      </c>
      <c r="E46" s="10">
        <v>23</v>
      </c>
      <c r="F46" s="10">
        <v>73</v>
      </c>
      <c r="G46" s="36">
        <v>96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44910.812693067128</v>
      </c>
      <c r="D47" s="36">
        <v>308</v>
      </c>
      <c r="E47" s="10">
        <v>22</v>
      </c>
      <c r="F47" s="10">
        <v>73</v>
      </c>
      <c r="G47" s="36">
        <v>95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44910.81269770833</v>
      </c>
      <c r="D48" s="36">
        <v>304</v>
      </c>
      <c r="E48" s="10">
        <v>23</v>
      </c>
      <c r="F48" s="10">
        <v>74</v>
      </c>
      <c r="G48" s="36">
        <v>97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44910.812702303243</v>
      </c>
      <c r="D49" s="36">
        <v>300</v>
      </c>
      <c r="E49" s="10">
        <v>23</v>
      </c>
      <c r="F49" s="10">
        <v>72</v>
      </c>
      <c r="G49" s="36">
        <v>95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44910.812706956021</v>
      </c>
      <c r="D50" s="36">
        <v>306</v>
      </c>
      <c r="E50" s="10">
        <v>23</v>
      </c>
      <c r="F50" s="10">
        <v>73</v>
      </c>
      <c r="G50" s="36">
        <v>96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44910.812711550927</v>
      </c>
      <c r="D51" s="36">
        <v>303</v>
      </c>
      <c r="E51" s="10">
        <v>24</v>
      </c>
      <c r="F51" s="10">
        <v>71</v>
      </c>
      <c r="G51" s="36">
        <v>95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44910.812716203705</v>
      </c>
      <c r="D52" s="36">
        <v>302</v>
      </c>
      <c r="E52" s="10">
        <v>25</v>
      </c>
      <c r="F52" s="10">
        <v>73</v>
      </c>
      <c r="G52" s="36">
        <v>98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44910.812720891205</v>
      </c>
      <c r="D53" s="36">
        <v>307</v>
      </c>
      <c r="E53" s="10">
        <v>25</v>
      </c>
      <c r="F53" s="10">
        <v>72</v>
      </c>
      <c r="G53" s="36">
        <v>97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44910.81272548611</v>
      </c>
      <c r="D54" s="36">
        <v>302</v>
      </c>
      <c r="E54" s="10">
        <v>25</v>
      </c>
      <c r="F54" s="10">
        <v>73</v>
      </c>
      <c r="G54" s="36">
        <v>98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44910.812730138889</v>
      </c>
      <c r="D55" s="36">
        <v>303</v>
      </c>
      <c r="E55" s="10">
        <v>25</v>
      </c>
      <c r="F55" s="10">
        <v>73</v>
      </c>
      <c r="G55" s="36">
        <v>98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>
        <v>44910.812734780091</v>
      </c>
      <c r="D56" s="36">
        <v>297</v>
      </c>
      <c r="E56" s="10">
        <v>27</v>
      </c>
      <c r="F56" s="10">
        <v>73</v>
      </c>
      <c r="G56" s="36">
        <v>100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>
        <v>44910.812739421293</v>
      </c>
      <c r="D57" s="36">
        <v>301</v>
      </c>
      <c r="E57" s="10">
        <v>27</v>
      </c>
      <c r="F57" s="10">
        <v>73</v>
      </c>
      <c r="G57" s="36">
        <v>100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>
        <v>44910.812744016206</v>
      </c>
      <c r="D58" s="36">
        <v>300</v>
      </c>
      <c r="E58" s="10">
        <v>26</v>
      </c>
      <c r="F58" s="10">
        <v>73</v>
      </c>
      <c r="G58" s="36">
        <v>99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>
        <v>44910.812748668985</v>
      </c>
      <c r="D59" s="36">
        <v>301</v>
      </c>
      <c r="E59" s="10">
        <v>28</v>
      </c>
      <c r="F59" s="10">
        <v>73</v>
      </c>
      <c r="G59" s="36">
        <v>101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>
        <v>44910.812753310187</v>
      </c>
      <c r="D60" s="36">
        <v>297</v>
      </c>
      <c r="E60" s="10">
        <v>28</v>
      </c>
      <c r="F60" s="10">
        <v>74</v>
      </c>
      <c r="G60" s="36">
        <v>102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>
        <v>44910.812757916668</v>
      </c>
      <c r="D61" s="36">
        <v>297</v>
      </c>
      <c r="E61" s="10">
        <v>28</v>
      </c>
      <c r="F61" s="10">
        <v>74</v>
      </c>
      <c r="G61" s="36">
        <v>102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>
        <v>44910.812762569447</v>
      </c>
      <c r="D62" s="36">
        <v>298</v>
      </c>
      <c r="E62" s="10">
        <v>31</v>
      </c>
      <c r="F62" s="10">
        <v>72</v>
      </c>
      <c r="G62" s="36">
        <v>103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>
        <v>44910.812767210649</v>
      </c>
      <c r="D63" s="36">
        <v>298</v>
      </c>
      <c r="E63" s="10">
        <v>30</v>
      </c>
      <c r="F63" s="10">
        <v>72</v>
      </c>
      <c r="G63" s="36">
        <v>102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>
        <v>44910.812771851852</v>
      </c>
      <c r="D64" s="36">
        <v>298</v>
      </c>
      <c r="E64" s="10">
        <v>32</v>
      </c>
      <c r="F64" s="10">
        <v>70</v>
      </c>
      <c r="G64" s="36">
        <v>102</v>
      </c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>
        <v>44910.812776446757</v>
      </c>
      <c r="D65" s="36">
        <v>296</v>
      </c>
      <c r="E65" s="10">
        <v>32</v>
      </c>
      <c r="F65" s="10">
        <v>71</v>
      </c>
      <c r="G65" s="36">
        <v>103</v>
      </c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>
        <v>44910.812781099536</v>
      </c>
      <c r="D66" s="36">
        <v>297</v>
      </c>
      <c r="E66" s="10">
        <v>33</v>
      </c>
      <c r="F66" s="10">
        <v>71</v>
      </c>
      <c r="G66" s="36">
        <v>104</v>
      </c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9">
        <v>44910.812785740738</v>
      </c>
      <c r="D67" s="36">
        <v>296</v>
      </c>
      <c r="E67" s="10">
        <v>36</v>
      </c>
      <c r="F67" s="10">
        <v>70</v>
      </c>
      <c r="G67" s="36">
        <v>106</v>
      </c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>
        <v>44910.81279048611</v>
      </c>
      <c r="D68" s="36">
        <v>290</v>
      </c>
      <c r="E68" s="10">
        <v>42</v>
      </c>
      <c r="F68" s="10">
        <v>74</v>
      </c>
      <c r="G68" s="36">
        <v>116</v>
      </c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9">
        <v>44910.81279517361</v>
      </c>
      <c r="D69" s="36">
        <v>280</v>
      </c>
      <c r="E69" s="10">
        <v>49</v>
      </c>
      <c r="F69" s="10">
        <v>78</v>
      </c>
      <c r="G69" s="36">
        <v>127</v>
      </c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>
        <v>44910.812799675929</v>
      </c>
      <c r="D70" s="36">
        <v>269</v>
      </c>
      <c r="E70" s="10"/>
      <c r="F70" s="10" t="s">
        <v>29</v>
      </c>
      <c r="G70" s="36">
        <v>126</v>
      </c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9">
        <v>44910.81280428241</v>
      </c>
      <c r="D71" s="36">
        <v>269</v>
      </c>
      <c r="E71" s="10"/>
      <c r="F71" s="10" t="s">
        <v>29</v>
      </c>
      <c r="G71" s="36">
        <v>125</v>
      </c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3">
        <v>44910.812808865739</v>
      </c>
      <c r="D72" s="34">
        <v>273</v>
      </c>
      <c r="E72" s="35"/>
      <c r="F72" s="35" t="s">
        <v>29</v>
      </c>
      <c r="G72" s="34">
        <v>125</v>
      </c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 s="36"/>
      <c r="E73" s="36"/>
      <c r="F73" s="36"/>
      <c r="G73" s="36"/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 s="36"/>
      <c r="E74" s="36"/>
      <c r="F74" s="36"/>
      <c r="G74" s="36"/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 s="36"/>
      <c r="E75" s="36"/>
      <c r="F75" s="36"/>
      <c r="G75" s="36"/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 s="36"/>
      <c r="E76" s="36"/>
      <c r="F76" s="36"/>
      <c r="G76" s="36"/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 s="36"/>
      <c r="E77" s="36"/>
      <c r="F77" s="36"/>
      <c r="G77" s="36"/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 s="36"/>
      <c r="E78" s="36"/>
      <c r="F78" s="36"/>
      <c r="G78" s="36"/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 s="36"/>
      <c r="E79" s="36"/>
      <c r="F79" s="36"/>
      <c r="G79" s="36"/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 s="36"/>
      <c r="E80" s="36"/>
      <c r="F80" s="36"/>
      <c r="G80" s="36"/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 s="36"/>
      <c r="E81" s="10"/>
      <c r="F81" s="10"/>
      <c r="G81" s="36"/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 s="36"/>
      <c r="E82" s="10"/>
      <c r="F82" s="10"/>
      <c r="G82" s="36"/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 s="36"/>
      <c r="E83" s="10"/>
      <c r="F83" s="10"/>
      <c r="G83" s="36"/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6"/>
      <c r="E84" s="10"/>
      <c r="F84" s="10"/>
      <c r="G84" s="36"/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6"/>
      <c r="E85" s="10"/>
      <c r="F85" s="10"/>
      <c r="G85" s="36"/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3"/>
      <c r="D86" s="34"/>
      <c r="E86" s="35"/>
      <c r="F86" s="35"/>
      <c r="G86" s="34"/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7"/>
      <c r="E87" s="8"/>
      <c r="F87" s="8"/>
      <c r="G87" s="8"/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7"/>
      <c r="E88" s="8"/>
      <c r="F88" s="8"/>
      <c r="G88" s="8"/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7"/>
      <c r="E89" s="8"/>
      <c r="F89" s="8"/>
      <c r="G89" s="8"/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7"/>
      <c r="E90" s="8"/>
      <c r="F90" s="8"/>
      <c r="G90" s="8"/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39"/>
      <c r="E91" s="8"/>
      <c r="F91" s="8"/>
      <c r="G91" s="8"/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7"/>
      <c r="E92" s="8"/>
      <c r="F92" s="8"/>
      <c r="G92" s="8"/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7"/>
      <c r="E93" s="8"/>
      <c r="F93" s="8"/>
      <c r="G93" s="8"/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39"/>
      <c r="E94" s="8"/>
      <c r="F94" s="8"/>
      <c r="G94" s="8"/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ime_x000d__x000a__x000d__x000a_TBL_HST[TIME]" sqref="C4:C86" xr:uid="{B65EC5F9-9110-444D-99F3-E12F90FA2827}"/>
    <dataValidation allowBlank="1" showInputMessage="1" showErrorMessage="1" prompt="TBL_HST[CH1]" sqref="D4:D86" xr:uid="{535DB445-D8FF-4D0F-BBD4-A388270E9201}"/>
    <dataValidation allowBlank="1" showInputMessage="1" showErrorMessage="1" prompt="TBL_HST[CH4]" sqref="G4:G86" xr:uid="{FFDDDD8A-1E61-4DEF-A8A6-E3C932B00FBB}"/>
    <dataValidation allowBlank="1" showInputMessage="1" showErrorMessage="1" prompt="TBL_HST[CH2]" sqref="E4:E86" xr:uid="{9A4FA94D-72DB-4FF8-B982-2575F87E8679}"/>
    <dataValidation allowBlank="1" showInputMessage="1" showErrorMessage="1" prompt="TBL_HST[CH3]" sqref="F4:F86" xr:uid="{AFE2CE25-E148-4D7E-B944-998A65610094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65EF3-C5F3-4C15-AB91-77E122384FF5}">
  <sheetPr codeName="Sheet12"/>
  <dimension ref="A1:AH2445"/>
  <sheetViews>
    <sheetView topLeftCell="B1" zoomScaleNormal="100" workbookViewId="0">
      <selection activeCell="G44" sqref="G44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44910.829303692131</v>
      </c>
      <c r="D4" s="36">
        <v>4050</v>
      </c>
      <c r="E4" s="10">
        <v>17</v>
      </c>
      <c r="F4" s="10">
        <v>72</v>
      </c>
      <c r="G4" s="36">
        <v>89</v>
      </c>
      <c r="H4" s="11"/>
      <c r="I4" s="12" t="s">
        <v>8</v>
      </c>
      <c r="J4" s="13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44910.829308668981</v>
      </c>
      <c r="D5" s="36">
        <v>344</v>
      </c>
      <c r="E5" s="10">
        <v>17</v>
      </c>
      <c r="F5" s="10">
        <v>72</v>
      </c>
      <c r="G5" s="36">
        <v>89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44910.829313078706</v>
      </c>
      <c r="D6" s="36">
        <v>289</v>
      </c>
      <c r="E6" s="10">
        <v>17</v>
      </c>
      <c r="F6" s="10">
        <v>73</v>
      </c>
      <c r="G6" s="36">
        <v>90</v>
      </c>
      <c r="H6" s="11"/>
      <c r="I6" s="15" t="s">
        <v>9</v>
      </c>
      <c r="J6" s="16" t="s">
        <v>28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44910.829317905096</v>
      </c>
      <c r="D7" s="36">
        <v>330</v>
      </c>
      <c r="E7" s="10">
        <v>17</v>
      </c>
      <c r="F7" s="10">
        <v>73</v>
      </c>
      <c r="G7" s="36">
        <v>90</v>
      </c>
      <c r="H7" s="11"/>
      <c r="I7" s="17" t="s">
        <v>11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44910.829322546298</v>
      </c>
      <c r="D8" s="36">
        <v>311</v>
      </c>
      <c r="E8" s="10">
        <v>18</v>
      </c>
      <c r="F8" s="10">
        <v>70</v>
      </c>
      <c r="G8" s="36">
        <v>88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44910.829327199077</v>
      </c>
      <c r="D9" s="36">
        <v>309</v>
      </c>
      <c r="E9" s="10">
        <v>19</v>
      </c>
      <c r="F9" s="10">
        <v>73</v>
      </c>
      <c r="G9" s="36">
        <v>92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44910.829331793982</v>
      </c>
      <c r="D10" s="36">
        <v>310</v>
      </c>
      <c r="E10" s="10">
        <v>18</v>
      </c>
      <c r="F10" s="10">
        <v>71</v>
      </c>
      <c r="G10" s="36">
        <v>89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44910.829336493058</v>
      </c>
      <c r="D11" s="36">
        <v>315</v>
      </c>
      <c r="E11" s="10">
        <v>19</v>
      </c>
      <c r="F11" s="10">
        <v>70</v>
      </c>
      <c r="G11" s="36">
        <v>89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44910.82934113426</v>
      </c>
      <c r="D12" s="36">
        <v>312</v>
      </c>
      <c r="E12" s="10">
        <v>17</v>
      </c>
      <c r="F12" s="10">
        <v>72</v>
      </c>
      <c r="G12" s="36">
        <v>89</v>
      </c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44910.829345787039</v>
      </c>
      <c r="D13" s="36">
        <v>310</v>
      </c>
      <c r="E13" s="10">
        <v>19</v>
      </c>
      <c r="F13" s="10">
        <v>72</v>
      </c>
      <c r="G13" s="36">
        <v>91</v>
      </c>
      <c r="H13" s="11"/>
      <c r="I13" s="24" t="s">
        <v>16</v>
      </c>
      <c r="J13" s="25">
        <f>J12+J7</f>
        <v>636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44910.829350324071</v>
      </c>
      <c r="D14" s="36">
        <v>306</v>
      </c>
      <c r="E14" s="10">
        <v>19</v>
      </c>
      <c r="F14" s="10">
        <v>70</v>
      </c>
      <c r="G14" s="36">
        <v>89</v>
      </c>
      <c r="H14" s="11"/>
      <c r="I14" s="24" t="s">
        <v>17</v>
      </c>
      <c r="J14" s="26">
        <v>627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44910.82935497685</v>
      </c>
      <c r="D15" s="36">
        <v>311</v>
      </c>
      <c r="E15" s="10">
        <v>18</v>
      </c>
      <c r="F15" s="10">
        <v>71</v>
      </c>
      <c r="G15" s="36">
        <v>89</v>
      </c>
      <c r="H15" s="11"/>
      <c r="I15" s="17" t="s">
        <v>18</v>
      </c>
      <c r="J15" s="21">
        <f>J13-J14</f>
        <v>9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44910.829359629628</v>
      </c>
      <c r="D16" s="36">
        <v>310</v>
      </c>
      <c r="E16" s="10">
        <v>19</v>
      </c>
      <c r="F16" s="10">
        <v>73</v>
      </c>
      <c r="G16" s="36">
        <v>92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44910.829364224533</v>
      </c>
      <c r="D17" s="36">
        <v>305</v>
      </c>
      <c r="E17" s="10">
        <v>19</v>
      </c>
      <c r="F17" s="10">
        <v>73</v>
      </c>
      <c r="G17" s="36">
        <v>92</v>
      </c>
      <c r="H17" s="11"/>
      <c r="I17" s="15" t="s">
        <v>19</v>
      </c>
      <c r="J17" s="16">
        <v>77.900000000000006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44910.829368865743</v>
      </c>
      <c r="D18" s="36">
        <v>308</v>
      </c>
      <c r="E18" s="10">
        <v>19</v>
      </c>
      <c r="F18" s="10">
        <v>72</v>
      </c>
      <c r="G18" s="36">
        <v>91</v>
      </c>
      <c r="H18" s="11"/>
      <c r="I18" s="24" t="s">
        <v>20</v>
      </c>
      <c r="J18" s="25">
        <v>78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44910.829373518522</v>
      </c>
      <c r="D19" s="36">
        <v>309</v>
      </c>
      <c r="E19" s="10">
        <v>19</v>
      </c>
      <c r="F19" s="10">
        <v>74</v>
      </c>
      <c r="G19" s="36">
        <v>93</v>
      </c>
      <c r="H19" s="11"/>
      <c r="I19" s="24" t="s">
        <v>21</v>
      </c>
      <c r="J19" s="25">
        <v>58.1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44910.829378159724</v>
      </c>
      <c r="D20" s="36">
        <v>308</v>
      </c>
      <c r="E20" s="10">
        <v>19</v>
      </c>
      <c r="F20" s="10">
        <v>75</v>
      </c>
      <c r="G20" s="36">
        <v>94</v>
      </c>
      <c r="H20" s="11"/>
      <c r="I20" s="17" t="s">
        <v>55</v>
      </c>
      <c r="J20" s="51">
        <f>J18-J19</f>
        <v>19.899999999999999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44910.829382766206</v>
      </c>
      <c r="D21" s="36">
        <v>305</v>
      </c>
      <c r="E21" s="10">
        <v>18</v>
      </c>
      <c r="F21" s="10">
        <v>74</v>
      </c>
      <c r="G21" s="36">
        <v>92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44910.829387407408</v>
      </c>
      <c r="D22" s="36">
        <v>305</v>
      </c>
      <c r="E22" s="10">
        <v>20</v>
      </c>
      <c r="F22" s="10">
        <v>74</v>
      </c>
      <c r="G22" s="36">
        <v>94</v>
      </c>
      <c r="H22" s="11"/>
      <c r="I22" s="15" t="s">
        <v>22</v>
      </c>
      <c r="J22" s="16">
        <f>COUNT(E4:E253)</f>
        <v>68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44910.829392002313</v>
      </c>
      <c r="D23" s="36">
        <v>305</v>
      </c>
      <c r="E23" s="10">
        <v>18</v>
      </c>
      <c r="F23" s="10">
        <v>76</v>
      </c>
      <c r="G23" s="36">
        <v>94</v>
      </c>
      <c r="H23" s="11"/>
      <c r="I23" s="17" t="s">
        <v>23</v>
      </c>
      <c r="J23" s="21">
        <f>J15/J22</f>
        <v>0.13235294117647059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44910.829396643516</v>
      </c>
      <c r="D24" s="36">
        <v>304</v>
      </c>
      <c r="E24" s="10">
        <v>19</v>
      </c>
      <c r="F24" s="10">
        <v>77</v>
      </c>
      <c r="G24" s="36">
        <v>96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44910.829401238429</v>
      </c>
      <c r="D25" s="36">
        <v>302</v>
      </c>
      <c r="E25" s="10">
        <v>20</v>
      </c>
      <c r="F25" s="10">
        <v>76</v>
      </c>
      <c r="G25" s="36">
        <v>96</v>
      </c>
      <c r="H25" s="11"/>
      <c r="I25" s="15" t="s">
        <v>24</v>
      </c>
      <c r="J25" s="16">
        <f>AVERAGE(E4:E1048576)</f>
        <v>23.470588235294116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44910.829405891207</v>
      </c>
      <c r="D26" s="36">
        <v>304</v>
      </c>
      <c r="E26" s="10">
        <v>19</v>
      </c>
      <c r="F26" s="10">
        <v>77</v>
      </c>
      <c r="G26" s="36">
        <v>96</v>
      </c>
      <c r="H26" s="11"/>
      <c r="I26" s="24" t="s">
        <v>25</v>
      </c>
      <c r="J26" s="25">
        <f>AVERAGE(F4:F1048576)</f>
        <v>76.014705882352942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44910.829410578706</v>
      </c>
      <c r="D27" s="36">
        <v>308</v>
      </c>
      <c r="E27" s="10">
        <v>20</v>
      </c>
      <c r="F27" s="10">
        <v>76</v>
      </c>
      <c r="G27" s="36">
        <v>96</v>
      </c>
      <c r="H27" s="11"/>
      <c r="I27" s="17" t="s">
        <v>26</v>
      </c>
      <c r="J27" s="21">
        <f>AVERAGE(D5:D1048576)</f>
        <v>300.28571428571428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44910.829415231485</v>
      </c>
      <c r="D28" s="36">
        <v>307</v>
      </c>
      <c r="E28" s="10">
        <v>20</v>
      </c>
      <c r="F28" s="10">
        <v>78</v>
      </c>
      <c r="G28" s="36">
        <v>98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44910.829419884256</v>
      </c>
      <c r="D29" s="36">
        <v>302</v>
      </c>
      <c r="E29" s="10">
        <v>19</v>
      </c>
      <c r="F29" s="10">
        <v>78</v>
      </c>
      <c r="G29" s="36">
        <v>97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44910.829424340278</v>
      </c>
      <c r="D30" s="36">
        <v>284</v>
      </c>
      <c r="E30" s="10">
        <v>20</v>
      </c>
      <c r="F30" s="10">
        <v>79</v>
      </c>
      <c r="G30" s="36">
        <v>99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44910.829429212965</v>
      </c>
      <c r="D31" s="36">
        <v>328</v>
      </c>
      <c r="E31" s="10">
        <v>20</v>
      </c>
      <c r="F31" s="10">
        <v>78</v>
      </c>
      <c r="G31" s="36">
        <v>98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44910.82943391204</v>
      </c>
      <c r="D32" s="36">
        <v>301</v>
      </c>
      <c r="E32" s="10">
        <v>22</v>
      </c>
      <c r="F32" s="10">
        <v>78</v>
      </c>
      <c r="G32" s="36">
        <v>100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44910.829438506946</v>
      </c>
      <c r="D33" s="36">
        <v>301</v>
      </c>
      <c r="E33" s="10">
        <v>20</v>
      </c>
      <c r="F33" s="10">
        <v>79</v>
      </c>
      <c r="G33" s="36">
        <v>99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44910.829443101851</v>
      </c>
      <c r="D34" s="36">
        <v>299</v>
      </c>
      <c r="E34" s="10">
        <v>20</v>
      </c>
      <c r="F34" s="10">
        <v>79</v>
      </c>
      <c r="G34" s="36">
        <v>99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44910.829447800927</v>
      </c>
      <c r="D35" s="36">
        <v>301</v>
      </c>
      <c r="E35" s="10">
        <v>22</v>
      </c>
      <c r="F35" s="10">
        <v>81</v>
      </c>
      <c r="G35" s="36">
        <v>103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44910.829452453705</v>
      </c>
      <c r="D36" s="36">
        <v>296</v>
      </c>
      <c r="E36" s="10">
        <v>21</v>
      </c>
      <c r="F36" s="10">
        <v>81</v>
      </c>
      <c r="G36" s="36">
        <v>102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44910.829457094907</v>
      </c>
      <c r="D37" s="36">
        <v>299</v>
      </c>
      <c r="E37" s="10">
        <v>23</v>
      </c>
      <c r="F37" s="10">
        <v>80</v>
      </c>
      <c r="G37" s="36">
        <v>103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44910.829461689813</v>
      </c>
      <c r="D38" s="36">
        <v>297</v>
      </c>
      <c r="E38" s="10">
        <v>22</v>
      </c>
      <c r="F38" s="10">
        <v>80</v>
      </c>
      <c r="G38" s="36">
        <v>102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44910.829466388888</v>
      </c>
      <c r="D39" s="36">
        <v>299</v>
      </c>
      <c r="E39" s="10">
        <v>22</v>
      </c>
      <c r="F39" s="10">
        <v>82</v>
      </c>
      <c r="G39" s="36">
        <v>104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44910.829470983794</v>
      </c>
      <c r="D40" s="36">
        <v>296</v>
      </c>
      <c r="E40" s="10">
        <v>23</v>
      </c>
      <c r="F40" s="10">
        <v>78</v>
      </c>
      <c r="G40" s="36">
        <v>101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44910.829475625003</v>
      </c>
      <c r="D41" s="36">
        <v>300</v>
      </c>
      <c r="E41" s="10">
        <v>21</v>
      </c>
      <c r="F41" s="10">
        <v>81</v>
      </c>
      <c r="G41" s="36">
        <v>102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44910.829480231485</v>
      </c>
      <c r="D42" s="36">
        <v>297</v>
      </c>
      <c r="E42" s="10">
        <v>22</v>
      </c>
      <c r="F42" s="10">
        <v>78</v>
      </c>
      <c r="G42" s="36">
        <v>100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44910.829484918984</v>
      </c>
      <c r="D43" s="36">
        <v>302</v>
      </c>
      <c r="E43" s="10">
        <v>23</v>
      </c>
      <c r="F43" s="10">
        <v>79</v>
      </c>
      <c r="G43" s="36">
        <v>102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44910.829489525466</v>
      </c>
      <c r="D44" s="36">
        <v>299</v>
      </c>
      <c r="E44" s="10">
        <v>22</v>
      </c>
      <c r="F44" s="10">
        <v>79</v>
      </c>
      <c r="G44" s="36">
        <v>101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44910.829494166668</v>
      </c>
      <c r="D45" s="36">
        <v>298</v>
      </c>
      <c r="E45" s="10">
        <v>24</v>
      </c>
      <c r="F45" s="10">
        <v>80</v>
      </c>
      <c r="G45" s="36">
        <v>104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44910.829498807871</v>
      </c>
      <c r="D46" s="36">
        <v>293</v>
      </c>
      <c r="E46" s="10">
        <v>25</v>
      </c>
      <c r="F46" s="10">
        <v>80</v>
      </c>
      <c r="G46" s="36">
        <v>105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44910.829503402776</v>
      </c>
      <c r="D47" s="36">
        <v>297</v>
      </c>
      <c r="E47" s="10">
        <v>23</v>
      </c>
      <c r="F47" s="10">
        <v>79</v>
      </c>
      <c r="G47" s="36">
        <v>102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44910.829508043978</v>
      </c>
      <c r="D48" s="36">
        <v>299</v>
      </c>
      <c r="E48" s="10">
        <v>25</v>
      </c>
      <c r="F48" s="10">
        <v>78</v>
      </c>
      <c r="G48" s="36">
        <v>103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44910.829512696757</v>
      </c>
      <c r="D49" s="36">
        <v>299</v>
      </c>
      <c r="E49" s="10">
        <v>23</v>
      </c>
      <c r="F49" s="10">
        <v>78</v>
      </c>
      <c r="G49" s="36">
        <v>101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44910.829517337967</v>
      </c>
      <c r="D50" s="36">
        <v>298</v>
      </c>
      <c r="E50" s="10">
        <v>25</v>
      </c>
      <c r="F50" s="10">
        <v>77</v>
      </c>
      <c r="G50" s="36">
        <v>102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44910.829521990738</v>
      </c>
      <c r="D51" s="36">
        <v>300</v>
      </c>
      <c r="E51" s="10">
        <v>26</v>
      </c>
      <c r="F51" s="10">
        <v>76</v>
      </c>
      <c r="G51" s="36">
        <v>102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44910.829526631947</v>
      </c>
      <c r="D52" s="36">
        <v>299</v>
      </c>
      <c r="E52" s="10">
        <v>25</v>
      </c>
      <c r="F52" s="10">
        <v>76</v>
      </c>
      <c r="G52" s="36">
        <v>101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44910.82953127315</v>
      </c>
      <c r="D53" s="36">
        <v>299</v>
      </c>
      <c r="E53" s="10">
        <v>26</v>
      </c>
      <c r="F53" s="10">
        <v>76</v>
      </c>
      <c r="G53" s="36">
        <v>102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44910.829535925928</v>
      </c>
      <c r="D54" s="36">
        <v>300</v>
      </c>
      <c r="E54" s="10">
        <v>25</v>
      </c>
      <c r="F54" s="10">
        <v>77</v>
      </c>
      <c r="G54" s="36">
        <v>102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44910.829540578707</v>
      </c>
      <c r="D55" s="36">
        <v>298</v>
      </c>
      <c r="E55" s="10">
        <v>27</v>
      </c>
      <c r="F55" s="10">
        <v>77</v>
      </c>
      <c r="G55" s="36">
        <v>104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>
        <v>44910.829545173612</v>
      </c>
      <c r="D56" s="36">
        <v>296</v>
      </c>
      <c r="E56" s="10">
        <v>27</v>
      </c>
      <c r="F56" s="10">
        <v>76</v>
      </c>
      <c r="G56" s="36">
        <v>103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>
        <v>44910.829549814815</v>
      </c>
      <c r="D57" s="36">
        <v>298</v>
      </c>
      <c r="E57" s="10">
        <v>26</v>
      </c>
      <c r="F57" s="10">
        <v>76</v>
      </c>
      <c r="G57" s="36">
        <v>102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>
        <v>44910.829554467593</v>
      </c>
      <c r="D58" s="36">
        <v>297</v>
      </c>
      <c r="E58" s="10">
        <v>28</v>
      </c>
      <c r="F58" s="10">
        <v>76</v>
      </c>
      <c r="G58" s="36">
        <v>104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>
        <v>44910.829559108795</v>
      </c>
      <c r="D59" s="36">
        <v>293</v>
      </c>
      <c r="E59" s="10">
        <v>28</v>
      </c>
      <c r="F59" s="10">
        <v>79</v>
      </c>
      <c r="G59" s="36">
        <v>107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>
        <v>44910.829563657404</v>
      </c>
      <c r="D60" s="36">
        <v>287</v>
      </c>
      <c r="E60" s="10">
        <v>28</v>
      </c>
      <c r="F60" s="10">
        <v>77</v>
      </c>
      <c r="G60" s="36">
        <v>105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>
        <v>44910.829568310182</v>
      </c>
      <c r="D61" s="36">
        <v>297</v>
      </c>
      <c r="E61" s="10">
        <v>29</v>
      </c>
      <c r="F61" s="10">
        <v>77</v>
      </c>
      <c r="G61" s="36">
        <v>106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>
        <v>44910.829572939816</v>
      </c>
      <c r="D62" s="36">
        <v>293</v>
      </c>
      <c r="E62" s="10">
        <v>30</v>
      </c>
      <c r="F62" s="10">
        <v>77</v>
      </c>
      <c r="G62" s="36">
        <v>107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>
        <v>44910.829577592594</v>
      </c>
      <c r="D63" s="36">
        <v>296</v>
      </c>
      <c r="E63" s="10">
        <v>31</v>
      </c>
      <c r="F63" s="10">
        <v>75</v>
      </c>
      <c r="G63" s="36">
        <v>106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>
        <v>44910.829582280094</v>
      </c>
      <c r="D64" s="36">
        <v>296</v>
      </c>
      <c r="E64" s="10">
        <v>32</v>
      </c>
      <c r="F64" s="10">
        <v>75</v>
      </c>
      <c r="G64" s="36">
        <v>107</v>
      </c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>
        <v>44910.829586886575</v>
      </c>
      <c r="D65" s="36">
        <v>293</v>
      </c>
      <c r="E65" s="10">
        <v>31</v>
      </c>
      <c r="F65" s="10">
        <v>76</v>
      </c>
      <c r="G65" s="36">
        <v>107</v>
      </c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>
        <v>44910.829591527778</v>
      </c>
      <c r="D66" s="36">
        <v>295</v>
      </c>
      <c r="E66" s="10">
        <v>32</v>
      </c>
      <c r="F66" s="10">
        <v>75</v>
      </c>
      <c r="G66" s="36">
        <v>107</v>
      </c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9">
        <v>44910.829596180556</v>
      </c>
      <c r="D67" s="36">
        <v>291</v>
      </c>
      <c r="E67" s="10">
        <v>33</v>
      </c>
      <c r="F67" s="10">
        <v>76</v>
      </c>
      <c r="G67" s="36">
        <v>109</v>
      </c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>
        <v>44910.829600833335</v>
      </c>
      <c r="D68" s="36">
        <v>291</v>
      </c>
      <c r="E68" s="10">
        <v>36</v>
      </c>
      <c r="F68" s="10">
        <v>74</v>
      </c>
      <c r="G68" s="36">
        <v>110</v>
      </c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9">
        <v>44910.829605474537</v>
      </c>
      <c r="D69" s="36">
        <v>288</v>
      </c>
      <c r="E69" s="10">
        <v>39</v>
      </c>
      <c r="F69" s="10">
        <v>74</v>
      </c>
      <c r="G69" s="36">
        <v>113</v>
      </c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>
        <v>44910.829610162036</v>
      </c>
      <c r="D70" s="36">
        <v>288</v>
      </c>
      <c r="E70" s="10">
        <v>42</v>
      </c>
      <c r="F70" s="10">
        <v>73</v>
      </c>
      <c r="G70" s="36">
        <v>115</v>
      </c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9">
        <v>44910.829614803239</v>
      </c>
      <c r="D71" s="36">
        <v>284</v>
      </c>
      <c r="E71" s="10">
        <v>44</v>
      </c>
      <c r="F71" s="10">
        <v>75</v>
      </c>
      <c r="G71" s="36">
        <v>119</v>
      </c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9">
        <v>44910.829619456017</v>
      </c>
      <c r="D72" s="36">
        <v>279</v>
      </c>
      <c r="E72" s="10"/>
      <c r="F72" s="10" t="s">
        <v>29</v>
      </c>
      <c r="G72" s="36">
        <v>126</v>
      </c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>
        <v>44910.829624062499</v>
      </c>
      <c r="D73" s="36">
        <v>273</v>
      </c>
      <c r="E73" s="10"/>
      <c r="F73" s="10" t="s">
        <v>29</v>
      </c>
      <c r="G73" s="36">
        <v>123</v>
      </c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33">
        <v>44910.829628703701</v>
      </c>
      <c r="D74" s="34">
        <v>277</v>
      </c>
      <c r="E74" s="35"/>
      <c r="F74" s="35" t="s">
        <v>29</v>
      </c>
      <c r="G74" s="34">
        <v>124</v>
      </c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 s="36"/>
      <c r="E75" s="36"/>
      <c r="F75" s="36"/>
      <c r="G75" s="36"/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 s="36"/>
      <c r="E76" s="36"/>
      <c r="F76" s="36"/>
      <c r="G76" s="36"/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 s="36"/>
      <c r="E77" s="36"/>
      <c r="F77" s="36"/>
      <c r="G77" s="36"/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 s="36"/>
      <c r="E78" s="36"/>
      <c r="F78" s="36"/>
      <c r="G78" s="36"/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 s="36"/>
      <c r="E79" s="36"/>
      <c r="F79" s="36"/>
      <c r="G79" s="36"/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 s="36"/>
      <c r="E80" s="36"/>
      <c r="F80" s="36"/>
      <c r="G80" s="36"/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 s="36"/>
      <c r="E81" s="10"/>
      <c r="F81" s="10"/>
      <c r="G81" s="36"/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 s="36"/>
      <c r="E82" s="10"/>
      <c r="F82" s="10"/>
      <c r="G82" s="36"/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 s="36"/>
      <c r="E83" s="10"/>
      <c r="F83" s="10"/>
      <c r="G83" s="36"/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6"/>
      <c r="E84" s="10"/>
      <c r="F84" s="10"/>
      <c r="G84" s="36"/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6"/>
      <c r="E85" s="10"/>
      <c r="F85" s="10"/>
      <c r="G85" s="36"/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3"/>
      <c r="D86" s="34"/>
      <c r="E86" s="35"/>
      <c r="F86" s="35"/>
      <c r="G86" s="34"/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7"/>
      <c r="E87" s="8"/>
      <c r="F87" s="8"/>
      <c r="G87" s="8"/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7"/>
      <c r="E88" s="8"/>
      <c r="F88" s="8"/>
      <c r="G88" s="8"/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7"/>
      <c r="E89" s="8"/>
      <c r="F89" s="8"/>
      <c r="G89" s="8"/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7"/>
      <c r="E90" s="8"/>
      <c r="F90" s="8"/>
      <c r="G90" s="8"/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39"/>
      <c r="E91" s="8"/>
      <c r="F91" s="8"/>
      <c r="G91" s="8"/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7"/>
      <c r="E92" s="8"/>
      <c r="F92" s="8"/>
      <c r="G92" s="8"/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7"/>
      <c r="E93" s="8"/>
      <c r="F93" s="8"/>
      <c r="G93" s="8"/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39"/>
      <c r="E94" s="8"/>
      <c r="F94" s="8"/>
      <c r="G94" s="8"/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ime_x000d__x000a__x000d__x000a_TBL_HST[TIME]" sqref="C4:C86" xr:uid="{05075FC4-057D-4F4A-9668-638A0635860E}"/>
    <dataValidation allowBlank="1" showInputMessage="1" showErrorMessage="1" prompt="TBL_HST[CH1]" sqref="D4:D86" xr:uid="{5ED29E89-C75C-4E7C-B582-DA177E714223}"/>
    <dataValidation allowBlank="1" showInputMessage="1" showErrorMessage="1" prompt="TBL_HST[CH4]" sqref="G4:G86" xr:uid="{98074F7F-D395-4753-B2C9-6C7D14A5D0B9}"/>
    <dataValidation allowBlank="1" showInputMessage="1" showErrorMessage="1" prompt="TBL_HST[CH2]" sqref="E4:E86" xr:uid="{8B1FE0C7-1B12-4831-B7FC-3B581F2E6FCC}"/>
    <dataValidation allowBlank="1" showInputMessage="1" showErrorMessage="1" prompt="TBL_HST[CH3]" sqref="F4:F86" xr:uid="{02E448A9-9229-426E-9BD7-5D87931F73E6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09843-4853-40D7-80EA-A3AC5A18E3BC}">
  <sheetPr codeName="Sheet14"/>
  <dimension ref="A1:AH2445"/>
  <sheetViews>
    <sheetView topLeftCell="B1" zoomScaleNormal="100" workbookViewId="0">
      <selection activeCell="G44" sqref="G44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44910.856593784723</v>
      </c>
      <c r="D4" s="36">
        <v>18788</v>
      </c>
      <c r="E4" s="10">
        <v>17</v>
      </c>
      <c r="F4" s="10">
        <v>75</v>
      </c>
      <c r="G4" s="36">
        <v>92</v>
      </c>
      <c r="H4" s="11"/>
      <c r="I4" s="12" t="s">
        <v>8</v>
      </c>
      <c r="J4" s="13">
        <v>3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44910.856598379629</v>
      </c>
      <c r="D5" s="36">
        <v>305</v>
      </c>
      <c r="E5" s="10">
        <v>19</v>
      </c>
      <c r="F5" s="10">
        <v>74</v>
      </c>
      <c r="G5" s="36">
        <v>93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44910.856603078704</v>
      </c>
      <c r="D6" s="36">
        <v>310</v>
      </c>
      <c r="E6" s="10">
        <v>17</v>
      </c>
      <c r="F6" s="10">
        <v>78</v>
      </c>
      <c r="G6" s="36">
        <v>95</v>
      </c>
      <c r="H6" s="11"/>
      <c r="I6" s="15" t="s">
        <v>9</v>
      </c>
      <c r="J6" s="16" t="s">
        <v>28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44910.85660777778</v>
      </c>
      <c r="D7" s="36">
        <v>310</v>
      </c>
      <c r="E7" s="10">
        <v>18</v>
      </c>
      <c r="F7" s="10">
        <v>75</v>
      </c>
      <c r="G7" s="36">
        <v>93</v>
      </c>
      <c r="H7" s="11"/>
      <c r="I7" s="17" t="s">
        <v>11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44910.85661260417</v>
      </c>
      <c r="D8" s="36">
        <v>325</v>
      </c>
      <c r="E8" s="10">
        <v>17</v>
      </c>
      <c r="F8" s="10">
        <v>76</v>
      </c>
      <c r="G8" s="36">
        <v>93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44910.856616967591</v>
      </c>
      <c r="D9" s="36">
        <v>285</v>
      </c>
      <c r="E9" s="10">
        <v>18</v>
      </c>
      <c r="F9" s="10">
        <v>74</v>
      </c>
      <c r="G9" s="36">
        <v>92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44910.856621851854</v>
      </c>
      <c r="D10" s="36">
        <v>328</v>
      </c>
      <c r="E10" s="10">
        <v>18</v>
      </c>
      <c r="F10" s="10">
        <v>76</v>
      </c>
      <c r="G10" s="36">
        <v>94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44910.856626307868</v>
      </c>
      <c r="D11" s="36">
        <v>289</v>
      </c>
      <c r="E11" s="10">
        <v>18</v>
      </c>
      <c r="F11" s="10">
        <v>78</v>
      </c>
      <c r="G11" s="36">
        <v>96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44910.856631134258</v>
      </c>
      <c r="D12" s="36">
        <v>322</v>
      </c>
      <c r="E12" s="10">
        <v>19</v>
      </c>
      <c r="F12" s="10">
        <v>77</v>
      </c>
      <c r="G12" s="36">
        <v>96</v>
      </c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44910.856635787037</v>
      </c>
      <c r="D13" s="36">
        <v>305</v>
      </c>
      <c r="E13" s="10">
        <v>18</v>
      </c>
      <c r="F13" s="10">
        <v>76</v>
      </c>
      <c r="G13" s="36">
        <v>94</v>
      </c>
      <c r="H13" s="11"/>
      <c r="I13" s="24" t="s">
        <v>16</v>
      </c>
      <c r="J13" s="25">
        <f>J12+J7</f>
        <v>636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44910.856640243059</v>
      </c>
      <c r="D14" s="36">
        <v>290</v>
      </c>
      <c r="E14" s="10">
        <v>19</v>
      </c>
      <c r="F14" s="10">
        <v>76</v>
      </c>
      <c r="G14" s="36">
        <v>95</v>
      </c>
      <c r="H14" s="11"/>
      <c r="I14" s="24" t="s">
        <v>17</v>
      </c>
      <c r="J14" s="26">
        <v>626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44910.85664489583</v>
      </c>
      <c r="D15" s="36">
        <v>304</v>
      </c>
      <c r="E15" s="10">
        <v>20</v>
      </c>
      <c r="F15" s="10">
        <v>78</v>
      </c>
      <c r="G15" s="36">
        <v>98</v>
      </c>
      <c r="H15" s="11"/>
      <c r="I15" s="17" t="s">
        <v>18</v>
      </c>
      <c r="J15" s="21">
        <f>J13-J14</f>
        <v>10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44910.85664972222</v>
      </c>
      <c r="D16" s="36">
        <v>322</v>
      </c>
      <c r="E16" s="10">
        <v>19</v>
      </c>
      <c r="F16" s="10">
        <v>77</v>
      </c>
      <c r="G16" s="36">
        <v>96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44910.856654328702</v>
      </c>
      <c r="D17" s="36">
        <v>302</v>
      </c>
      <c r="E17" s="10">
        <v>20</v>
      </c>
      <c r="F17" s="10">
        <v>75</v>
      </c>
      <c r="G17" s="36">
        <v>95</v>
      </c>
      <c r="H17" s="11"/>
      <c r="I17" s="15" t="s">
        <v>19</v>
      </c>
      <c r="J17" s="16">
        <v>76.400000000000006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44910.856658958335</v>
      </c>
      <c r="D18" s="36">
        <v>306</v>
      </c>
      <c r="E18" s="10">
        <v>19</v>
      </c>
      <c r="F18" s="10">
        <v>78</v>
      </c>
      <c r="G18" s="36">
        <v>97</v>
      </c>
      <c r="H18" s="11"/>
      <c r="I18" s="24" t="s">
        <v>20</v>
      </c>
      <c r="J18" s="25">
        <v>77.5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44910.856663611114</v>
      </c>
      <c r="D19" s="36">
        <v>305</v>
      </c>
      <c r="E19" s="10">
        <v>19</v>
      </c>
      <c r="F19" s="10">
        <v>75</v>
      </c>
      <c r="G19" s="36">
        <v>94</v>
      </c>
      <c r="H19" s="11"/>
      <c r="I19" s="24" t="s">
        <v>21</v>
      </c>
      <c r="J19" s="25">
        <v>57.7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44910.856668356479</v>
      </c>
      <c r="D20" s="36">
        <v>312</v>
      </c>
      <c r="E20" s="10">
        <v>19</v>
      </c>
      <c r="F20" s="10">
        <v>79</v>
      </c>
      <c r="G20" s="36">
        <v>98</v>
      </c>
      <c r="H20" s="11"/>
      <c r="I20" s="17" t="s">
        <v>55</v>
      </c>
      <c r="J20" s="51">
        <f>J18-J19</f>
        <v>19.799999999999997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44910.856672905094</v>
      </c>
      <c r="D21" s="36">
        <v>296</v>
      </c>
      <c r="E21" s="10">
        <v>19</v>
      </c>
      <c r="F21" s="10">
        <v>76</v>
      </c>
      <c r="G21" s="36">
        <v>95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44910.856677557873</v>
      </c>
      <c r="D22" s="36">
        <v>305</v>
      </c>
      <c r="E22" s="10">
        <v>20</v>
      </c>
      <c r="F22" s="10">
        <v>78</v>
      </c>
      <c r="G22" s="36">
        <v>98</v>
      </c>
      <c r="H22" s="11"/>
      <c r="I22" s="15" t="s">
        <v>22</v>
      </c>
      <c r="J22" s="16">
        <f>COUNT(E4:E253)</f>
        <v>64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44910.856682245372</v>
      </c>
      <c r="D23" s="36">
        <v>302</v>
      </c>
      <c r="E23" s="10">
        <v>19</v>
      </c>
      <c r="F23" s="10">
        <v>82</v>
      </c>
      <c r="G23" s="36">
        <v>101</v>
      </c>
      <c r="H23" s="11"/>
      <c r="I23" s="17" t="s">
        <v>23</v>
      </c>
      <c r="J23" s="21">
        <f>J15/J22</f>
        <v>0.15625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44910.856686840278</v>
      </c>
      <c r="D24" s="36">
        <v>303</v>
      </c>
      <c r="E24" s="10">
        <v>21</v>
      </c>
      <c r="F24" s="10">
        <v>76</v>
      </c>
      <c r="G24" s="36">
        <v>97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44910.85669158565</v>
      </c>
      <c r="D25" s="36">
        <v>310</v>
      </c>
      <c r="E25" s="10">
        <v>20</v>
      </c>
      <c r="F25" s="10">
        <v>78</v>
      </c>
      <c r="G25" s="36">
        <v>98</v>
      </c>
      <c r="H25" s="11"/>
      <c r="I25" s="15" t="s">
        <v>24</v>
      </c>
      <c r="J25" s="16">
        <f>AVERAGE(E4:E1048576)</f>
        <v>23.671875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44910.856696226852</v>
      </c>
      <c r="D26" s="36">
        <v>302</v>
      </c>
      <c r="E26" s="10">
        <v>21</v>
      </c>
      <c r="F26" s="10">
        <v>80</v>
      </c>
      <c r="G26" s="36">
        <v>101</v>
      </c>
      <c r="H26" s="11"/>
      <c r="I26" s="24" t="s">
        <v>25</v>
      </c>
      <c r="J26" s="25">
        <f>AVERAGE(F4:F1048576)</f>
        <v>77.84375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44910.856700636577</v>
      </c>
      <c r="D27" s="36">
        <v>280</v>
      </c>
      <c r="E27" s="10">
        <v>19</v>
      </c>
      <c r="F27" s="10">
        <v>79</v>
      </c>
      <c r="G27" s="36">
        <v>98</v>
      </c>
      <c r="H27" s="11"/>
      <c r="I27" s="17" t="s">
        <v>26</v>
      </c>
      <c r="J27" s="21">
        <f>AVERAGE(D5:D1048576)</f>
        <v>298.16417910447763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44910.85670546296</v>
      </c>
      <c r="D28" s="36">
        <v>320</v>
      </c>
      <c r="E28" s="10">
        <v>20</v>
      </c>
      <c r="F28" s="10">
        <v>78</v>
      </c>
      <c r="G28" s="36">
        <v>98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44910.856710162036</v>
      </c>
      <c r="D29" s="36">
        <v>306</v>
      </c>
      <c r="E29" s="10">
        <v>21</v>
      </c>
      <c r="F29" s="10">
        <v>78</v>
      </c>
      <c r="G29" s="36">
        <v>99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44910.856714756941</v>
      </c>
      <c r="D30" s="36">
        <v>300</v>
      </c>
      <c r="E30" s="10">
        <v>20</v>
      </c>
      <c r="F30" s="10">
        <v>79</v>
      </c>
      <c r="G30" s="36">
        <v>99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44910.856719131945</v>
      </c>
      <c r="D31" s="36">
        <v>278</v>
      </c>
      <c r="E31" s="10">
        <v>22</v>
      </c>
      <c r="F31" s="10">
        <v>77</v>
      </c>
      <c r="G31" s="36">
        <v>99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44910.856724004632</v>
      </c>
      <c r="D32" s="36">
        <v>322</v>
      </c>
      <c r="E32" s="10">
        <v>21</v>
      </c>
      <c r="F32" s="10">
        <v>78</v>
      </c>
      <c r="G32" s="36">
        <v>99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44910.856728657411</v>
      </c>
      <c r="D33" s="36">
        <v>303</v>
      </c>
      <c r="E33" s="10">
        <v>20</v>
      </c>
      <c r="F33" s="10">
        <v>79</v>
      </c>
      <c r="G33" s="36">
        <v>99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44910.856733298613</v>
      </c>
      <c r="D34" s="36">
        <v>299</v>
      </c>
      <c r="E34" s="10">
        <v>22</v>
      </c>
      <c r="F34" s="10">
        <v>78</v>
      </c>
      <c r="G34" s="36">
        <v>100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44910.856737893519</v>
      </c>
      <c r="D35" s="36">
        <v>300</v>
      </c>
      <c r="E35" s="10">
        <v>21</v>
      </c>
      <c r="F35" s="10">
        <v>78</v>
      </c>
      <c r="G35" s="36">
        <v>99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44910.856742581018</v>
      </c>
      <c r="D36" s="36">
        <v>301</v>
      </c>
      <c r="E36" s="10">
        <v>21</v>
      </c>
      <c r="F36" s="10">
        <v>81</v>
      </c>
      <c r="G36" s="36">
        <v>102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44910.856746909725</v>
      </c>
      <c r="D37" s="36">
        <v>278</v>
      </c>
      <c r="E37" s="10"/>
      <c r="F37" s="10" t="s">
        <v>29</v>
      </c>
      <c r="G37" s="36">
        <v>100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44910.856751828702</v>
      </c>
      <c r="D38" s="36">
        <v>320</v>
      </c>
      <c r="E38" s="10">
        <v>22</v>
      </c>
      <c r="F38" s="10">
        <v>81</v>
      </c>
      <c r="G38" s="36">
        <v>103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44910.856756435183</v>
      </c>
      <c r="D39" s="36">
        <v>292</v>
      </c>
      <c r="E39" s="10">
        <v>22</v>
      </c>
      <c r="F39" s="10">
        <v>82</v>
      </c>
      <c r="G39" s="36">
        <v>104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44910.856761122683</v>
      </c>
      <c r="D40" s="36">
        <v>299</v>
      </c>
      <c r="E40" s="10">
        <v>23</v>
      </c>
      <c r="F40" s="10">
        <v>81</v>
      </c>
      <c r="G40" s="36">
        <v>104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44910.856765532408</v>
      </c>
      <c r="D41" s="36">
        <v>278</v>
      </c>
      <c r="E41" s="10">
        <v>23</v>
      </c>
      <c r="F41" s="10">
        <v>81</v>
      </c>
      <c r="G41" s="36">
        <v>104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44910.856770127313</v>
      </c>
      <c r="D42" s="36">
        <v>297</v>
      </c>
      <c r="E42" s="10">
        <v>22</v>
      </c>
      <c r="F42" s="10">
        <v>79</v>
      </c>
      <c r="G42" s="36">
        <v>101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44910.856774780092</v>
      </c>
      <c r="D43" s="36">
        <v>299</v>
      </c>
      <c r="E43" s="10">
        <v>23</v>
      </c>
      <c r="F43" s="10">
        <v>80</v>
      </c>
      <c r="G43" s="36">
        <v>103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44910.856779374997</v>
      </c>
      <c r="D44" s="36">
        <v>294</v>
      </c>
      <c r="E44" s="10">
        <v>24</v>
      </c>
      <c r="F44" s="10">
        <v>79</v>
      </c>
      <c r="G44" s="36">
        <v>103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44910.85678425926</v>
      </c>
      <c r="D45" s="36">
        <v>318</v>
      </c>
      <c r="E45" s="10">
        <v>24</v>
      </c>
      <c r="F45" s="10">
        <v>80</v>
      </c>
      <c r="G45" s="36">
        <v>104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44910.856788715275</v>
      </c>
      <c r="D46" s="36">
        <v>278</v>
      </c>
      <c r="E46" s="10">
        <v>25</v>
      </c>
      <c r="F46" s="10">
        <v>79</v>
      </c>
      <c r="G46" s="36">
        <v>104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44910.856793356485</v>
      </c>
      <c r="D47" s="36">
        <v>297</v>
      </c>
      <c r="E47" s="10">
        <v>24</v>
      </c>
      <c r="F47" s="10">
        <v>79</v>
      </c>
      <c r="G47" s="36">
        <v>103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44910.856797962966</v>
      </c>
      <c r="D48" s="36">
        <v>296</v>
      </c>
      <c r="E48" s="10">
        <v>25</v>
      </c>
      <c r="F48" s="10">
        <v>79</v>
      </c>
      <c r="G48" s="36">
        <v>104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44910.856802604168</v>
      </c>
      <c r="D49" s="36">
        <v>298</v>
      </c>
      <c r="E49" s="10">
        <v>26</v>
      </c>
      <c r="F49" s="10">
        <v>78</v>
      </c>
      <c r="G49" s="36">
        <v>104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44910.856807256947</v>
      </c>
      <c r="D50" s="36">
        <v>297</v>
      </c>
      <c r="E50" s="10">
        <v>25</v>
      </c>
      <c r="F50" s="10">
        <v>79</v>
      </c>
      <c r="G50" s="36">
        <v>104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44910.856811944446</v>
      </c>
      <c r="D51" s="36">
        <v>297</v>
      </c>
      <c r="E51" s="10">
        <v>26</v>
      </c>
      <c r="F51" s="10">
        <v>80</v>
      </c>
      <c r="G51" s="36">
        <v>106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44910.856816550928</v>
      </c>
      <c r="D52" s="36">
        <v>295</v>
      </c>
      <c r="E52" s="10">
        <v>26</v>
      </c>
      <c r="F52" s="10">
        <v>78</v>
      </c>
      <c r="G52" s="36">
        <v>104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44910.856821423615</v>
      </c>
      <c r="D53" s="36">
        <v>315</v>
      </c>
      <c r="E53" s="10">
        <v>26</v>
      </c>
      <c r="F53" s="10">
        <v>79</v>
      </c>
      <c r="G53" s="36">
        <v>105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44910.856826064817</v>
      </c>
      <c r="D54" s="36">
        <v>296</v>
      </c>
      <c r="E54" s="10">
        <v>27</v>
      </c>
      <c r="F54" s="10">
        <v>80</v>
      </c>
      <c r="G54" s="36">
        <v>107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44910.856830486111</v>
      </c>
      <c r="D55" s="36">
        <v>273</v>
      </c>
      <c r="E55" s="10">
        <v>27</v>
      </c>
      <c r="F55" s="10">
        <v>80</v>
      </c>
      <c r="G55" s="36">
        <v>107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>
        <v>44910.856835127313</v>
      </c>
      <c r="D56" s="36">
        <v>294</v>
      </c>
      <c r="E56" s="10">
        <v>28</v>
      </c>
      <c r="F56" s="10">
        <v>80</v>
      </c>
      <c r="G56" s="36">
        <v>108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>
        <v>44910.856839780092</v>
      </c>
      <c r="D57" s="36">
        <v>290</v>
      </c>
      <c r="E57" s="10">
        <v>29</v>
      </c>
      <c r="F57" s="10">
        <v>80</v>
      </c>
      <c r="G57" s="36">
        <v>109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>
        <v>44910.856844606482</v>
      </c>
      <c r="D58" s="36">
        <v>312</v>
      </c>
      <c r="E58" s="10">
        <v>30</v>
      </c>
      <c r="F58" s="10">
        <v>78</v>
      </c>
      <c r="G58" s="36">
        <v>108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>
        <v>44910.856849016207</v>
      </c>
      <c r="D59" s="36">
        <v>271</v>
      </c>
      <c r="E59" s="10">
        <v>30</v>
      </c>
      <c r="F59" s="10">
        <v>79</v>
      </c>
      <c r="G59" s="36">
        <v>109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>
        <v>44910.856853854166</v>
      </c>
      <c r="D60" s="36">
        <v>310</v>
      </c>
      <c r="E60" s="10">
        <v>30</v>
      </c>
      <c r="F60" s="10">
        <v>77</v>
      </c>
      <c r="G60" s="36">
        <v>107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>
        <v>44910.856858310188</v>
      </c>
      <c r="D61" s="36">
        <v>274</v>
      </c>
      <c r="E61" s="10">
        <v>31</v>
      </c>
      <c r="F61" s="10">
        <v>78</v>
      </c>
      <c r="G61" s="36">
        <v>109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>
        <v>44910.85686295139</v>
      </c>
      <c r="D62" s="36">
        <v>291</v>
      </c>
      <c r="E62" s="10">
        <v>32</v>
      </c>
      <c r="F62" s="10">
        <v>78</v>
      </c>
      <c r="G62" s="36">
        <v>110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>
        <v>44910.856867546296</v>
      </c>
      <c r="D63" s="36">
        <v>290</v>
      </c>
      <c r="E63" s="10">
        <v>32</v>
      </c>
      <c r="F63" s="10">
        <v>77</v>
      </c>
      <c r="G63" s="36">
        <v>109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>
        <v>44910.856872199074</v>
      </c>
      <c r="D64" s="36">
        <v>291</v>
      </c>
      <c r="E64" s="10">
        <v>34</v>
      </c>
      <c r="F64" s="10">
        <v>76</v>
      </c>
      <c r="G64" s="36">
        <v>110</v>
      </c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>
        <v>44910.856876898149</v>
      </c>
      <c r="D65" s="36">
        <v>291</v>
      </c>
      <c r="E65" s="10">
        <v>36</v>
      </c>
      <c r="F65" s="10">
        <v>76</v>
      </c>
      <c r="G65" s="36">
        <v>112</v>
      </c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>
        <v>44910.856881493055</v>
      </c>
      <c r="D66" s="36">
        <v>287</v>
      </c>
      <c r="E66" s="10">
        <v>37</v>
      </c>
      <c r="F66" s="10">
        <v>73</v>
      </c>
      <c r="G66" s="36">
        <v>110</v>
      </c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9">
        <v>44910.856886180554</v>
      </c>
      <c r="D67" s="36">
        <v>291</v>
      </c>
      <c r="E67" s="10">
        <v>42</v>
      </c>
      <c r="F67" s="10">
        <v>73</v>
      </c>
      <c r="G67" s="36">
        <v>115</v>
      </c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>
        <v>44910.856890787036</v>
      </c>
      <c r="D68" s="36">
        <v>284</v>
      </c>
      <c r="E68" s="10">
        <v>43</v>
      </c>
      <c r="F68" s="10">
        <v>71</v>
      </c>
      <c r="G68" s="36">
        <v>114</v>
      </c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9">
        <v>44910.856895520832</v>
      </c>
      <c r="D69" s="36">
        <v>287</v>
      </c>
      <c r="E69" s="10"/>
      <c r="F69" s="10" t="s">
        <v>29</v>
      </c>
      <c r="G69" s="36">
        <v>125</v>
      </c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>
        <v>44910.856900127314</v>
      </c>
      <c r="D70" s="10">
        <v>274</v>
      </c>
      <c r="E70" s="10"/>
      <c r="F70" s="10" t="s">
        <v>29</v>
      </c>
      <c r="G70" s="10">
        <v>126</v>
      </c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3">
        <v>44910.856904768516</v>
      </c>
      <c r="D71" s="34">
        <v>276</v>
      </c>
      <c r="E71" s="35"/>
      <c r="F71" s="35" t="s">
        <v>29</v>
      </c>
      <c r="G71" s="34">
        <v>124</v>
      </c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3"/>
      <c r="D72" s="34"/>
      <c r="E72" s="35"/>
      <c r="F72" s="35"/>
      <c r="G72" s="34"/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 s="36"/>
      <c r="E73" s="36"/>
      <c r="F73" s="36"/>
      <c r="G73" s="36"/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 s="36"/>
      <c r="E74" s="36"/>
      <c r="F74" s="36"/>
      <c r="G74" s="36"/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 s="36"/>
      <c r="E75" s="36"/>
      <c r="F75" s="36"/>
      <c r="G75" s="36"/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 s="36"/>
      <c r="E76" s="36"/>
      <c r="F76" s="36"/>
      <c r="G76" s="36"/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 s="36"/>
      <c r="E77" s="36"/>
      <c r="F77" s="36"/>
      <c r="G77" s="36"/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 s="36"/>
      <c r="E78" s="36"/>
      <c r="F78" s="36"/>
      <c r="G78" s="36"/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 s="36"/>
      <c r="E79" s="36"/>
      <c r="F79" s="36"/>
      <c r="G79" s="36"/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 s="36"/>
      <c r="E80" s="36"/>
      <c r="F80" s="36"/>
      <c r="G80" s="36"/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 s="36"/>
      <c r="E81" s="10"/>
      <c r="F81" s="10"/>
      <c r="G81" s="36"/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 s="36"/>
      <c r="E82" s="10"/>
      <c r="F82" s="10"/>
      <c r="G82" s="36"/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 s="36"/>
      <c r="E83" s="10"/>
      <c r="F83" s="10"/>
      <c r="G83" s="36"/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6"/>
      <c r="E84" s="10"/>
      <c r="F84" s="10"/>
      <c r="G84" s="36"/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6"/>
      <c r="E85" s="10"/>
      <c r="F85" s="10"/>
      <c r="G85" s="36"/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3"/>
      <c r="D86" s="34"/>
      <c r="E86" s="35"/>
      <c r="F86" s="35"/>
      <c r="G86" s="34"/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7"/>
      <c r="E87" s="8"/>
      <c r="F87" s="8"/>
      <c r="G87" s="8"/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7"/>
      <c r="E88" s="8"/>
      <c r="F88" s="8"/>
      <c r="G88" s="8"/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7"/>
      <c r="E89" s="8"/>
      <c r="F89" s="8"/>
      <c r="G89" s="8"/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7"/>
      <c r="E90" s="8"/>
      <c r="F90" s="8"/>
      <c r="G90" s="8"/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39"/>
      <c r="E91" s="8"/>
      <c r="F91" s="8"/>
      <c r="G91" s="8"/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7"/>
      <c r="E92" s="8"/>
      <c r="F92" s="8"/>
      <c r="G92" s="8"/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7"/>
      <c r="E93" s="8"/>
      <c r="F93" s="8"/>
      <c r="G93" s="8"/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39"/>
      <c r="E94" s="8"/>
      <c r="F94" s="8"/>
      <c r="G94" s="8"/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ime_x000d__x000a__x000d__x000a_TBL_HST[TIME]" sqref="C4:C86" xr:uid="{6521ABB4-4528-427C-96FD-0D6F95A7CDF2}"/>
    <dataValidation allowBlank="1" showInputMessage="1" showErrorMessage="1" prompt="TBL_HST[CH1]" sqref="D4:D86" xr:uid="{868BDD91-FC2D-4821-ADFD-344417D4B637}"/>
    <dataValidation allowBlank="1" showInputMessage="1" showErrorMessage="1" prompt="TBL_HST[CH4]" sqref="G4:G86" xr:uid="{AE6FC6D2-FFE6-4D12-BAAD-7D05A3643D86}"/>
    <dataValidation allowBlank="1" showInputMessage="1" showErrorMessage="1" prompt="TBL_HST[CH2]" sqref="E4:E86" xr:uid="{499C3716-4C8A-42CA-AAA4-C98FB4A31481}"/>
    <dataValidation allowBlank="1" showInputMessage="1" showErrorMessage="1" prompt="TBL_HST[CH3]" sqref="F4:F86" xr:uid="{2A53BBA4-FE1A-4A82-AC32-3985BA70147E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9EC9A-C645-4078-B934-EF42274364F9}">
  <sheetPr codeName="Sheet13"/>
  <dimension ref="A1:AH2445"/>
  <sheetViews>
    <sheetView topLeftCell="B1" zoomScaleNormal="100" workbookViewId="0">
      <selection activeCell="J43" sqref="J43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44910.876036134257</v>
      </c>
      <c r="D4" s="36">
        <v>42276</v>
      </c>
      <c r="E4" s="10">
        <v>17</v>
      </c>
      <c r="F4" s="10">
        <v>73</v>
      </c>
      <c r="G4" s="36">
        <v>90</v>
      </c>
      <c r="H4" s="11"/>
      <c r="I4" s="12" t="s">
        <v>8</v>
      </c>
      <c r="J4" s="13">
        <v>1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44910.876040821757</v>
      </c>
      <c r="D5" s="36">
        <v>313</v>
      </c>
      <c r="E5" s="10">
        <v>17</v>
      </c>
      <c r="F5" s="10">
        <v>77</v>
      </c>
      <c r="G5" s="36">
        <v>94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44910.876045462966</v>
      </c>
      <c r="D6" s="36">
        <v>307</v>
      </c>
      <c r="E6" s="10">
        <v>17</v>
      </c>
      <c r="F6" s="10">
        <v>76</v>
      </c>
      <c r="G6" s="36">
        <v>93</v>
      </c>
      <c r="H6" s="11"/>
      <c r="I6" s="15" t="s">
        <v>9</v>
      </c>
      <c r="J6" s="16" t="s">
        <v>28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44910.876050115738</v>
      </c>
      <c r="D7" s="36">
        <v>309</v>
      </c>
      <c r="E7" s="10">
        <v>18</v>
      </c>
      <c r="F7" s="10">
        <v>75</v>
      </c>
      <c r="G7" s="36">
        <v>93</v>
      </c>
      <c r="H7" s="11"/>
      <c r="I7" s="17" t="s">
        <v>11</v>
      </c>
      <c r="J7" s="18">
        <v>18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44910.876054768516</v>
      </c>
      <c r="D8" s="36">
        <v>307</v>
      </c>
      <c r="E8" s="10">
        <v>18</v>
      </c>
      <c r="F8" s="10">
        <v>77</v>
      </c>
      <c r="G8" s="36">
        <v>95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44910.876059409726</v>
      </c>
      <c r="D9" s="36">
        <v>305</v>
      </c>
      <c r="E9" s="10">
        <v>19</v>
      </c>
      <c r="F9" s="10">
        <v>75</v>
      </c>
      <c r="G9" s="36">
        <v>94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44910.876064050928</v>
      </c>
      <c r="D10" s="36">
        <v>309</v>
      </c>
      <c r="E10" s="10">
        <v>17</v>
      </c>
      <c r="F10" s="10">
        <v>76</v>
      </c>
      <c r="G10" s="36">
        <v>93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44910.876068703707</v>
      </c>
      <c r="D11" s="36">
        <v>307</v>
      </c>
      <c r="E11" s="10">
        <v>18</v>
      </c>
      <c r="F11" s="10">
        <v>78</v>
      </c>
      <c r="G11" s="36">
        <v>96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44910.876073344909</v>
      </c>
      <c r="D12" s="36">
        <v>302</v>
      </c>
      <c r="E12" s="10">
        <v>19</v>
      </c>
      <c r="F12" s="10">
        <v>78</v>
      </c>
      <c r="G12" s="36">
        <v>97</v>
      </c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44910.876077939814</v>
      </c>
      <c r="D13" s="36">
        <v>301</v>
      </c>
      <c r="E13" s="10">
        <v>19</v>
      </c>
      <c r="F13" s="10">
        <v>76</v>
      </c>
      <c r="G13" s="36">
        <v>95</v>
      </c>
      <c r="H13" s="11"/>
      <c r="I13" s="24" t="s">
        <v>16</v>
      </c>
      <c r="J13" s="25">
        <f>J12+J7</f>
        <v>642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44910.876082581017</v>
      </c>
      <c r="D14" s="36">
        <v>308</v>
      </c>
      <c r="E14" s="10">
        <v>17</v>
      </c>
      <c r="F14" s="10">
        <v>79</v>
      </c>
      <c r="G14" s="36">
        <v>96</v>
      </c>
      <c r="H14" s="11"/>
      <c r="I14" s="24" t="s">
        <v>17</v>
      </c>
      <c r="J14" s="26">
        <v>629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44910.876087187498</v>
      </c>
      <c r="D15" s="36">
        <v>302</v>
      </c>
      <c r="E15" s="10">
        <v>19</v>
      </c>
      <c r="F15" s="10">
        <v>76</v>
      </c>
      <c r="G15" s="36">
        <v>95</v>
      </c>
      <c r="H15" s="11"/>
      <c r="I15" s="17" t="s">
        <v>18</v>
      </c>
      <c r="J15" s="21">
        <f>J13-J14</f>
        <v>13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44910.876091886574</v>
      </c>
      <c r="D16" s="36">
        <v>306</v>
      </c>
      <c r="E16" s="10">
        <v>18</v>
      </c>
      <c r="F16" s="10">
        <v>79</v>
      </c>
      <c r="G16" s="36">
        <v>97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44910.876096423613</v>
      </c>
      <c r="D17" s="36">
        <v>303</v>
      </c>
      <c r="E17" s="10">
        <v>19</v>
      </c>
      <c r="F17" s="10">
        <v>73</v>
      </c>
      <c r="G17" s="36">
        <v>92</v>
      </c>
      <c r="H17" s="11"/>
      <c r="I17" s="15" t="s">
        <v>19</v>
      </c>
      <c r="J17" s="16">
        <v>76.8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44910.876101168978</v>
      </c>
      <c r="D18" s="36">
        <v>313</v>
      </c>
      <c r="E18" s="10">
        <v>18</v>
      </c>
      <c r="F18" s="10">
        <v>77</v>
      </c>
      <c r="G18" s="36">
        <v>95</v>
      </c>
      <c r="H18" s="11"/>
      <c r="I18" s="24" t="s">
        <v>20</v>
      </c>
      <c r="J18" s="25">
        <v>78.2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44910.87610577546</v>
      </c>
      <c r="D19" s="36">
        <v>301</v>
      </c>
      <c r="E19" s="10">
        <v>19</v>
      </c>
      <c r="F19" s="10">
        <v>76</v>
      </c>
      <c r="G19" s="36">
        <v>95</v>
      </c>
      <c r="H19" s="11"/>
      <c r="I19" s="24" t="s">
        <v>21</v>
      </c>
      <c r="J19" s="25">
        <v>50.7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44910.876110370373</v>
      </c>
      <c r="D20" s="36">
        <v>302</v>
      </c>
      <c r="E20" s="10">
        <v>20</v>
      </c>
      <c r="F20" s="10">
        <v>79</v>
      </c>
      <c r="G20" s="36">
        <v>99</v>
      </c>
      <c r="H20" s="11"/>
      <c r="I20" s="17" t="s">
        <v>55</v>
      </c>
      <c r="J20" s="51">
        <f>J18-J19</f>
        <v>27.5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44910.876115023151</v>
      </c>
      <c r="D21" s="36">
        <v>305</v>
      </c>
      <c r="E21" s="10">
        <v>19</v>
      </c>
      <c r="F21" s="10">
        <v>77</v>
      </c>
      <c r="G21" s="36">
        <v>96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44910.876119699074</v>
      </c>
      <c r="D22" s="36">
        <v>306</v>
      </c>
      <c r="E22" s="10">
        <v>19</v>
      </c>
      <c r="F22" s="10">
        <v>76</v>
      </c>
      <c r="G22" s="36">
        <v>95</v>
      </c>
      <c r="H22" s="11"/>
      <c r="I22" s="15" t="s">
        <v>22</v>
      </c>
      <c r="J22" s="16">
        <f>COUNT(E4:E253)</f>
        <v>90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44910.876124351853</v>
      </c>
      <c r="D23" s="36">
        <v>308</v>
      </c>
      <c r="E23" s="10">
        <v>18</v>
      </c>
      <c r="F23" s="10">
        <v>79</v>
      </c>
      <c r="G23" s="36">
        <v>97</v>
      </c>
      <c r="H23" s="11"/>
      <c r="I23" s="17" t="s">
        <v>23</v>
      </c>
      <c r="J23" s="21">
        <f>J15/J22</f>
        <v>0.14444444444444443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44910.876128946758</v>
      </c>
      <c r="D24" s="36">
        <v>300</v>
      </c>
      <c r="E24" s="10">
        <v>18</v>
      </c>
      <c r="F24" s="10">
        <v>78</v>
      </c>
      <c r="G24" s="36">
        <v>96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44910.87613355324</v>
      </c>
      <c r="D25" s="36">
        <v>302</v>
      </c>
      <c r="E25" s="10">
        <v>19</v>
      </c>
      <c r="F25" s="10">
        <v>76</v>
      </c>
      <c r="G25" s="36">
        <v>95</v>
      </c>
      <c r="H25" s="11"/>
      <c r="I25" s="15" t="s">
        <v>24</v>
      </c>
      <c r="J25" s="16">
        <f>AVERAGE(E4:E1048576)</f>
        <v>23.333333333333332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44910.876138194442</v>
      </c>
      <c r="D26" s="36">
        <v>304</v>
      </c>
      <c r="E26" s="10">
        <v>19</v>
      </c>
      <c r="F26" s="10">
        <v>77</v>
      </c>
      <c r="G26" s="36">
        <v>96</v>
      </c>
      <c r="H26" s="11"/>
      <c r="I26" s="24" t="s">
        <v>25</v>
      </c>
      <c r="J26" s="25">
        <f>AVERAGE(F4:F1048576)</f>
        <v>76.833333333333329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44910.876142800924</v>
      </c>
      <c r="D27" s="36">
        <v>303</v>
      </c>
      <c r="E27" s="10">
        <v>19</v>
      </c>
      <c r="F27" s="10">
        <v>75</v>
      </c>
      <c r="G27" s="36">
        <v>94</v>
      </c>
      <c r="H27" s="11"/>
      <c r="I27" s="17" t="s">
        <v>26</v>
      </c>
      <c r="J27" s="21">
        <f>AVERAGE(D5:D1048576)</f>
        <v>299.22826086956519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44910.87614753472</v>
      </c>
      <c r="D28" s="36">
        <v>313</v>
      </c>
      <c r="E28" s="10">
        <v>20</v>
      </c>
      <c r="F28" s="10">
        <v>78</v>
      </c>
      <c r="G28" s="36">
        <v>98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44910.876152094905</v>
      </c>
      <c r="D29" s="36">
        <v>298</v>
      </c>
      <c r="E29" s="10">
        <v>19</v>
      </c>
      <c r="F29" s="10">
        <v>77</v>
      </c>
      <c r="G29" s="36">
        <v>96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44910.876156689817</v>
      </c>
      <c r="D30" s="36">
        <v>301</v>
      </c>
      <c r="E30" s="10">
        <v>20</v>
      </c>
      <c r="F30" s="10">
        <v>76</v>
      </c>
      <c r="G30" s="36">
        <v>96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44910.87616122685</v>
      </c>
      <c r="D31" s="36">
        <v>296</v>
      </c>
      <c r="E31" s="10">
        <v>20</v>
      </c>
      <c r="F31" s="10">
        <v>74</v>
      </c>
      <c r="G31" s="36">
        <v>94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44910.876165879628</v>
      </c>
      <c r="D32" s="36">
        <v>310</v>
      </c>
      <c r="E32" s="10">
        <v>19</v>
      </c>
      <c r="F32" s="10">
        <v>75</v>
      </c>
      <c r="G32" s="36">
        <v>94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44910.87617048611</v>
      </c>
      <c r="D33" s="36">
        <v>300</v>
      </c>
      <c r="E33" s="10">
        <v>19</v>
      </c>
      <c r="F33" s="10">
        <v>76</v>
      </c>
      <c r="G33" s="36">
        <v>95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44910.876175266203</v>
      </c>
      <c r="D34" s="36">
        <v>320</v>
      </c>
      <c r="E34" s="10">
        <v>19</v>
      </c>
      <c r="F34" s="10">
        <v>76</v>
      </c>
      <c r="G34" s="36">
        <v>95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44910.876179861109</v>
      </c>
      <c r="D35" s="36">
        <v>302</v>
      </c>
      <c r="E35" s="10">
        <v>20</v>
      </c>
      <c r="F35" s="10">
        <v>75</v>
      </c>
      <c r="G35" s="36">
        <v>95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44910.876184560184</v>
      </c>
      <c r="D36" s="36">
        <v>304</v>
      </c>
      <c r="E36" s="10">
        <v>21</v>
      </c>
      <c r="F36" s="10">
        <v>78</v>
      </c>
      <c r="G36" s="36">
        <v>99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44910.876189155089</v>
      </c>
      <c r="D37" s="36">
        <v>301</v>
      </c>
      <c r="E37" s="10">
        <v>20</v>
      </c>
      <c r="F37" s="10">
        <v>78</v>
      </c>
      <c r="G37" s="36">
        <v>98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44910.876193750002</v>
      </c>
      <c r="D38" s="36">
        <v>302</v>
      </c>
      <c r="E38" s="10">
        <v>20</v>
      </c>
      <c r="F38" s="10">
        <v>76</v>
      </c>
      <c r="G38" s="36">
        <v>96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44910.87619826389</v>
      </c>
      <c r="D39" s="36">
        <v>291</v>
      </c>
      <c r="E39" s="10">
        <v>20</v>
      </c>
      <c r="F39" s="10">
        <v>75</v>
      </c>
      <c r="G39" s="36">
        <v>95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44910.876202905092</v>
      </c>
      <c r="D40" s="36">
        <v>306</v>
      </c>
      <c r="E40" s="10">
        <v>20</v>
      </c>
      <c r="F40" s="10">
        <v>78</v>
      </c>
      <c r="G40" s="36">
        <v>98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44910.876207499998</v>
      </c>
      <c r="D41" s="36">
        <v>301</v>
      </c>
      <c r="E41" s="10">
        <v>20</v>
      </c>
      <c r="F41" s="10">
        <v>76</v>
      </c>
      <c r="G41" s="36">
        <v>96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44910.87621224537</v>
      </c>
      <c r="D42" s="36">
        <v>312</v>
      </c>
      <c r="E42" s="10">
        <v>21</v>
      </c>
      <c r="F42" s="10">
        <v>77</v>
      </c>
      <c r="G42" s="36">
        <v>98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44910.876216990742</v>
      </c>
      <c r="D43" s="36">
        <v>307</v>
      </c>
      <c r="E43" s="10">
        <v>20</v>
      </c>
      <c r="F43" s="10">
        <v>80</v>
      </c>
      <c r="G43" s="36">
        <v>100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44910.876221585648</v>
      </c>
      <c r="D44" s="36">
        <v>296</v>
      </c>
      <c r="E44" s="10">
        <v>22</v>
      </c>
      <c r="F44" s="10">
        <v>80</v>
      </c>
      <c r="G44" s="36">
        <v>102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44910.876226180553</v>
      </c>
      <c r="D45" s="36">
        <v>298</v>
      </c>
      <c r="E45" s="10">
        <v>21</v>
      </c>
      <c r="F45" s="10">
        <v>77</v>
      </c>
      <c r="G45" s="36">
        <v>98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44910.876230821763</v>
      </c>
      <c r="D46" s="36">
        <v>300</v>
      </c>
      <c r="E46" s="10">
        <v>21</v>
      </c>
      <c r="F46" s="10">
        <v>79</v>
      </c>
      <c r="G46" s="36">
        <v>100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44910.876235462965</v>
      </c>
      <c r="D47" s="36">
        <v>301</v>
      </c>
      <c r="E47" s="10">
        <v>22</v>
      </c>
      <c r="F47" s="10">
        <v>78</v>
      </c>
      <c r="G47" s="36">
        <v>100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44910.87624002315</v>
      </c>
      <c r="D48" s="36">
        <v>298</v>
      </c>
      <c r="E48" s="10">
        <v>21</v>
      </c>
      <c r="F48" s="10">
        <v>77</v>
      </c>
      <c r="G48" s="36">
        <v>98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44910.876244571758</v>
      </c>
      <c r="D49" s="36">
        <v>296</v>
      </c>
      <c r="E49" s="10">
        <v>21</v>
      </c>
      <c r="F49" s="10">
        <v>76</v>
      </c>
      <c r="G49" s="36">
        <v>97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44910.876249212961</v>
      </c>
      <c r="D50" s="36">
        <v>301</v>
      </c>
      <c r="E50" s="10">
        <v>22</v>
      </c>
      <c r="F50" s="10">
        <v>77</v>
      </c>
      <c r="G50" s="36">
        <v>99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44910.876253865739</v>
      </c>
      <c r="D51" s="36">
        <v>302</v>
      </c>
      <c r="E51" s="10">
        <v>20</v>
      </c>
      <c r="F51" s="10">
        <v>80</v>
      </c>
      <c r="G51" s="36">
        <v>100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44910.876258472221</v>
      </c>
      <c r="D52" s="36">
        <v>299</v>
      </c>
      <c r="E52" s="10">
        <v>23</v>
      </c>
      <c r="F52" s="10">
        <v>75</v>
      </c>
      <c r="G52" s="36">
        <v>98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44910.876263101854</v>
      </c>
      <c r="D53" s="36">
        <v>303</v>
      </c>
      <c r="E53" s="10">
        <v>22</v>
      </c>
      <c r="F53" s="10">
        <v>77</v>
      </c>
      <c r="G53" s="36">
        <v>99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44910.876267754633</v>
      </c>
      <c r="D54" s="36">
        <v>302</v>
      </c>
      <c r="E54" s="10">
        <v>21</v>
      </c>
      <c r="F54" s="10">
        <v>78</v>
      </c>
      <c r="G54" s="36">
        <v>99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44910.876272407404</v>
      </c>
      <c r="D55" s="36">
        <v>301</v>
      </c>
      <c r="E55" s="10">
        <v>23</v>
      </c>
      <c r="F55" s="10">
        <v>74</v>
      </c>
      <c r="G55" s="36">
        <v>97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>
        <v>44910.876277048614</v>
      </c>
      <c r="D56" s="36">
        <v>304</v>
      </c>
      <c r="E56" s="10">
        <v>21</v>
      </c>
      <c r="F56" s="10">
        <v>78</v>
      </c>
      <c r="G56" s="36">
        <v>99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>
        <v>44910.876281689816</v>
      </c>
      <c r="D57" s="36">
        <v>301</v>
      </c>
      <c r="E57" s="10">
        <v>22</v>
      </c>
      <c r="F57" s="10">
        <v>78</v>
      </c>
      <c r="G57" s="36">
        <v>100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>
        <v>44910.876286331018</v>
      </c>
      <c r="D58" s="36">
        <v>299</v>
      </c>
      <c r="E58" s="10">
        <v>23</v>
      </c>
      <c r="F58" s="10">
        <v>77</v>
      </c>
      <c r="G58" s="36">
        <v>100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>
        <v>44910.876290983797</v>
      </c>
      <c r="D59" s="36">
        <v>303</v>
      </c>
      <c r="E59" s="10">
        <v>22</v>
      </c>
      <c r="F59" s="10">
        <v>78</v>
      </c>
      <c r="G59" s="36">
        <v>100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>
        <v>44910.876295578702</v>
      </c>
      <c r="D60" s="36">
        <v>299</v>
      </c>
      <c r="E60" s="10">
        <v>23</v>
      </c>
      <c r="F60" s="10">
        <v>76</v>
      </c>
      <c r="G60" s="36">
        <v>99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>
        <v>44910.876299988427</v>
      </c>
      <c r="D61" s="36">
        <v>282</v>
      </c>
      <c r="E61" s="10">
        <v>24</v>
      </c>
      <c r="F61" s="10">
        <v>75</v>
      </c>
      <c r="G61" s="36">
        <v>99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>
        <v>44910.87630491898</v>
      </c>
      <c r="D62" s="36">
        <v>324</v>
      </c>
      <c r="E62" s="10">
        <v>23</v>
      </c>
      <c r="F62" s="10">
        <v>77</v>
      </c>
      <c r="G62" s="36">
        <v>100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>
        <v>44910.876309525462</v>
      </c>
      <c r="D63" s="36">
        <v>295</v>
      </c>
      <c r="E63" s="10">
        <v>25</v>
      </c>
      <c r="F63" s="10">
        <v>77</v>
      </c>
      <c r="G63" s="36">
        <v>102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>
        <v>44910.876314155095</v>
      </c>
      <c r="D64" s="36">
        <v>299</v>
      </c>
      <c r="E64" s="10">
        <v>23</v>
      </c>
      <c r="F64" s="10">
        <v>78</v>
      </c>
      <c r="G64" s="36">
        <v>101</v>
      </c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>
        <v>44910.876318807874</v>
      </c>
      <c r="D65" s="36">
        <v>301</v>
      </c>
      <c r="E65" s="10">
        <v>25</v>
      </c>
      <c r="F65" s="10">
        <v>76</v>
      </c>
      <c r="G65" s="36">
        <v>101</v>
      </c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>
        <v>44910.876323460645</v>
      </c>
      <c r="D66" s="36">
        <v>298</v>
      </c>
      <c r="E66" s="10">
        <v>25</v>
      </c>
      <c r="F66" s="10">
        <v>80</v>
      </c>
      <c r="G66" s="36">
        <v>105</v>
      </c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9">
        <v>44910.876328101855</v>
      </c>
      <c r="D67" s="36">
        <v>298</v>
      </c>
      <c r="E67" s="10">
        <v>24</v>
      </c>
      <c r="F67" s="10">
        <v>76</v>
      </c>
      <c r="G67" s="36">
        <v>100</v>
      </c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>
        <v>44910.876332708336</v>
      </c>
      <c r="D68" s="36">
        <v>297</v>
      </c>
      <c r="E68" s="10">
        <v>26</v>
      </c>
      <c r="F68" s="10">
        <v>74</v>
      </c>
      <c r="G68" s="36">
        <v>100</v>
      </c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9">
        <v>44910.876337349539</v>
      </c>
      <c r="D69" s="36">
        <v>302</v>
      </c>
      <c r="E69" s="10">
        <v>24</v>
      </c>
      <c r="F69" s="10">
        <v>77</v>
      </c>
      <c r="G69" s="36">
        <v>101</v>
      </c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>
        <v>44910.876341990741</v>
      </c>
      <c r="D70" s="36">
        <v>299</v>
      </c>
      <c r="E70" s="10">
        <v>25</v>
      </c>
      <c r="F70" s="10">
        <v>79</v>
      </c>
      <c r="G70" s="36">
        <v>104</v>
      </c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9">
        <v>44910.876346643519</v>
      </c>
      <c r="D71" s="36">
        <v>298</v>
      </c>
      <c r="E71" s="10">
        <v>26</v>
      </c>
      <c r="F71" s="10">
        <v>77</v>
      </c>
      <c r="G71" s="36">
        <v>103</v>
      </c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9">
        <v>44910.876351238425</v>
      </c>
      <c r="D72" s="36">
        <v>296</v>
      </c>
      <c r="E72" s="10">
        <v>25</v>
      </c>
      <c r="F72" s="10">
        <v>76</v>
      </c>
      <c r="G72" s="36">
        <v>101</v>
      </c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>
        <v>44910.876355925924</v>
      </c>
      <c r="D73" s="36">
        <v>300</v>
      </c>
      <c r="E73" s="10">
        <v>27</v>
      </c>
      <c r="F73" s="10">
        <v>76</v>
      </c>
      <c r="G73" s="36">
        <v>103</v>
      </c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>
        <v>44910.876360567127</v>
      </c>
      <c r="D74" s="36">
        <v>293</v>
      </c>
      <c r="E74" s="10">
        <v>27</v>
      </c>
      <c r="F74" s="10">
        <v>80</v>
      </c>
      <c r="G74" s="36">
        <v>107</v>
      </c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>
        <v>44910.876365219905</v>
      </c>
      <c r="D75" s="36">
        <v>296</v>
      </c>
      <c r="E75" s="10">
        <v>27</v>
      </c>
      <c r="F75" s="10">
        <v>78</v>
      </c>
      <c r="G75" s="36">
        <v>105</v>
      </c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>
        <v>44910.876369861115</v>
      </c>
      <c r="D76" s="36">
        <v>296</v>
      </c>
      <c r="E76" s="10">
        <v>27</v>
      </c>
      <c r="F76" s="10">
        <v>78</v>
      </c>
      <c r="G76" s="36">
        <v>105</v>
      </c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>
        <v>44910.876374502317</v>
      </c>
      <c r="D77" s="36">
        <v>295</v>
      </c>
      <c r="E77" s="10">
        <v>27</v>
      </c>
      <c r="F77" s="10">
        <v>80</v>
      </c>
      <c r="G77" s="36">
        <v>107</v>
      </c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>
        <v>44910.876379155095</v>
      </c>
      <c r="D78" s="36">
        <v>294</v>
      </c>
      <c r="E78" s="10">
        <v>29</v>
      </c>
      <c r="F78" s="10">
        <v>78</v>
      </c>
      <c r="G78" s="36">
        <v>107</v>
      </c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>
        <v>44910.876383807874</v>
      </c>
      <c r="D79" s="36">
        <v>294</v>
      </c>
      <c r="E79" s="10">
        <v>29</v>
      </c>
      <c r="F79" s="10">
        <v>81</v>
      </c>
      <c r="G79" s="36">
        <v>110</v>
      </c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>
        <v>44910.876388402779</v>
      </c>
      <c r="D80" s="36">
        <v>289</v>
      </c>
      <c r="E80" s="10">
        <v>29</v>
      </c>
      <c r="F80" s="10">
        <v>78</v>
      </c>
      <c r="G80" s="36">
        <v>107</v>
      </c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>
        <v>44910.876393101855</v>
      </c>
      <c r="D81" s="36">
        <v>297</v>
      </c>
      <c r="E81" s="10">
        <v>31</v>
      </c>
      <c r="F81" s="10">
        <v>79</v>
      </c>
      <c r="G81" s="36">
        <v>110</v>
      </c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>
        <v>44910.876397835651</v>
      </c>
      <c r="D82" s="36">
        <v>297</v>
      </c>
      <c r="E82" s="10">
        <v>30</v>
      </c>
      <c r="F82" s="10">
        <v>79</v>
      </c>
      <c r="G82" s="36">
        <v>109</v>
      </c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>
        <v>44910.876402476853</v>
      </c>
      <c r="D83" s="36">
        <v>292</v>
      </c>
      <c r="E83" s="10">
        <v>32</v>
      </c>
      <c r="F83" s="10">
        <v>78</v>
      </c>
      <c r="G83" s="36">
        <v>110</v>
      </c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>
        <v>44910.876406840274</v>
      </c>
      <c r="D84" s="36">
        <v>268</v>
      </c>
      <c r="E84" s="10">
        <v>31</v>
      </c>
      <c r="F84" s="10">
        <v>79</v>
      </c>
      <c r="G84" s="36">
        <v>110</v>
      </c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>
        <v>44910.876411435187</v>
      </c>
      <c r="D85" s="36">
        <v>288</v>
      </c>
      <c r="E85" s="10">
        <v>32</v>
      </c>
      <c r="F85" s="10">
        <v>77</v>
      </c>
      <c r="G85" s="36">
        <v>109</v>
      </c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9">
        <v>44910.876416377316</v>
      </c>
      <c r="D86" s="36">
        <v>313</v>
      </c>
      <c r="E86" s="10">
        <v>33</v>
      </c>
      <c r="F86" s="10">
        <v>78</v>
      </c>
      <c r="G86" s="36">
        <v>111</v>
      </c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6.5" x14ac:dyDescent="0.25">
      <c r="A87" s="1"/>
      <c r="B87" s="8">
        <f t="shared" si="1"/>
        <v>84</v>
      </c>
      <c r="C87" s="9">
        <v>44910.876420787034</v>
      </c>
      <c r="D87" s="36">
        <v>271</v>
      </c>
      <c r="E87" s="10">
        <v>34</v>
      </c>
      <c r="F87" s="10">
        <v>76</v>
      </c>
      <c r="G87" s="36">
        <v>110</v>
      </c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6.5" x14ac:dyDescent="0.25">
      <c r="A88" s="1"/>
      <c r="B88" s="8">
        <f t="shared" si="1"/>
        <v>85</v>
      </c>
      <c r="C88" s="9">
        <v>44910.876425277776</v>
      </c>
      <c r="D88" s="36">
        <v>277</v>
      </c>
      <c r="E88" s="10">
        <v>35</v>
      </c>
      <c r="F88" s="10">
        <v>78</v>
      </c>
      <c r="G88" s="36">
        <v>113</v>
      </c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6.5" x14ac:dyDescent="0.25">
      <c r="A89" s="1"/>
      <c r="B89" s="8">
        <f t="shared" si="1"/>
        <v>86</v>
      </c>
      <c r="C89" s="9">
        <v>44910.876429976852</v>
      </c>
      <c r="D89" s="36">
        <v>294</v>
      </c>
      <c r="E89" s="10">
        <v>36</v>
      </c>
      <c r="F89" s="10">
        <v>74</v>
      </c>
      <c r="G89" s="36">
        <v>110</v>
      </c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6.5" x14ac:dyDescent="0.25">
      <c r="A90" s="1"/>
      <c r="B90" s="8">
        <f t="shared" si="1"/>
        <v>87</v>
      </c>
      <c r="C90" s="9">
        <v>44910.876434618054</v>
      </c>
      <c r="D90" s="36">
        <v>292</v>
      </c>
      <c r="E90" s="10">
        <v>38</v>
      </c>
      <c r="F90" s="10">
        <v>73</v>
      </c>
      <c r="G90" s="36">
        <v>111</v>
      </c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6.5" x14ac:dyDescent="0.25">
      <c r="A91" s="1"/>
      <c r="B91" s="8">
        <f t="shared" si="1"/>
        <v>88</v>
      </c>
      <c r="C91" s="9">
        <v>44910.87643931713</v>
      </c>
      <c r="D91" s="36">
        <v>293</v>
      </c>
      <c r="E91" s="10">
        <v>39</v>
      </c>
      <c r="F91" s="10">
        <v>71</v>
      </c>
      <c r="G91" s="36">
        <v>110</v>
      </c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6.5" x14ac:dyDescent="0.25">
      <c r="A92" s="1"/>
      <c r="B92" s="8">
        <f t="shared" si="1"/>
        <v>89</v>
      </c>
      <c r="C92" s="9">
        <v>44910.876443958332</v>
      </c>
      <c r="D92" s="36">
        <v>290</v>
      </c>
      <c r="E92" s="10">
        <v>41</v>
      </c>
      <c r="F92" s="10">
        <v>71</v>
      </c>
      <c r="G92" s="36">
        <v>112</v>
      </c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6.5" x14ac:dyDescent="0.25">
      <c r="A93" s="1"/>
      <c r="B93" s="8">
        <f t="shared" si="1"/>
        <v>90</v>
      </c>
      <c r="C93" s="9">
        <v>44910.876448657407</v>
      </c>
      <c r="D93" s="36">
        <v>287</v>
      </c>
      <c r="E93" s="10">
        <v>43</v>
      </c>
      <c r="F93" s="10">
        <v>73</v>
      </c>
      <c r="G93" s="36">
        <v>116</v>
      </c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6.5" x14ac:dyDescent="0.25">
      <c r="A94" s="1"/>
      <c r="B94" s="8">
        <f t="shared" si="1"/>
        <v>91</v>
      </c>
      <c r="C94" s="9">
        <v>44910.876453344907</v>
      </c>
      <c r="D94" s="36">
        <v>285</v>
      </c>
      <c r="E94" s="10"/>
      <c r="F94" s="10" t="s">
        <v>29</v>
      </c>
      <c r="G94" s="36">
        <v>127</v>
      </c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6.5" x14ac:dyDescent="0.25">
      <c r="A95" s="1"/>
      <c r="B95" s="8">
        <f t="shared" si="1"/>
        <v>92</v>
      </c>
      <c r="C95" s="9">
        <v>44910.876457951388</v>
      </c>
      <c r="D95" s="10">
        <v>272</v>
      </c>
      <c r="E95" s="10"/>
      <c r="F95" s="10" t="s">
        <v>29</v>
      </c>
      <c r="G95" s="10">
        <v>124</v>
      </c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6.5" x14ac:dyDescent="0.25">
      <c r="A96" s="1"/>
      <c r="B96" s="8">
        <f t="shared" si="1"/>
        <v>93</v>
      </c>
      <c r="C96" s="33">
        <v>44910.876462592591</v>
      </c>
      <c r="D96" s="34">
        <v>277</v>
      </c>
      <c r="E96" s="35"/>
      <c r="F96" s="35" t="s">
        <v>29</v>
      </c>
      <c r="G96" s="34">
        <v>124</v>
      </c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ime_x000d__x000a__x000d__x000a_TBL_HST[TIME]" sqref="C4:C96" xr:uid="{3C16199C-0BF6-4C73-9401-A956E18B8919}"/>
    <dataValidation allowBlank="1" showInputMessage="1" showErrorMessage="1" prompt="TBL_HST[CH1]" sqref="D4:D96" xr:uid="{EAA9AE81-71A4-4987-9EB9-2A142E21A5C3}"/>
    <dataValidation allowBlank="1" showInputMessage="1" showErrorMessage="1" prompt="TBL_HST[CH4]" sqref="G4:G96" xr:uid="{6857948C-884E-43B2-B45F-EBE56C753B07}"/>
    <dataValidation allowBlank="1" showInputMessage="1" showErrorMessage="1" prompt="TBL_HST[CH2]" sqref="E4:E96" xr:uid="{C54F9AB8-23B1-4FDF-8B60-EC870F0EDF57}"/>
    <dataValidation allowBlank="1" showInputMessage="1" showErrorMessage="1" prompt="TBL_HST[CH3]" sqref="F4:F96" xr:uid="{981BE532-4296-41F5-A9C4-F09C0A3445B1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2E7ED-0102-4632-AD1A-82814DAD27C1}">
  <sheetPr codeName="Sheet15"/>
  <dimension ref="A1:AH2445"/>
  <sheetViews>
    <sheetView topLeftCell="B1" zoomScaleNormal="100" workbookViewId="0">
      <selection activeCell="G44" sqref="G44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44910.912489016206</v>
      </c>
      <c r="D4" s="36">
        <v>3544</v>
      </c>
      <c r="E4" s="10">
        <v>16</v>
      </c>
      <c r="F4" s="10">
        <v>67</v>
      </c>
      <c r="G4" s="36">
        <v>83</v>
      </c>
      <c r="H4" s="11"/>
      <c r="I4" s="12" t="s">
        <v>8</v>
      </c>
      <c r="J4" s="13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44910.912493611111</v>
      </c>
      <c r="D5" s="36">
        <v>318</v>
      </c>
      <c r="E5" s="10">
        <v>18</v>
      </c>
      <c r="F5" s="10">
        <v>63</v>
      </c>
      <c r="G5" s="36">
        <v>81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44910.912498495367</v>
      </c>
      <c r="D6" s="36">
        <v>339</v>
      </c>
      <c r="E6" s="10">
        <v>17</v>
      </c>
      <c r="F6" s="10">
        <v>65</v>
      </c>
      <c r="G6" s="36">
        <v>82</v>
      </c>
      <c r="H6" s="11"/>
      <c r="I6" s="15" t="s">
        <v>9</v>
      </c>
      <c r="J6" s="16" t="s">
        <v>28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44910.912503148145</v>
      </c>
      <c r="D7" s="36">
        <v>321</v>
      </c>
      <c r="E7" s="10">
        <v>18</v>
      </c>
      <c r="F7" s="10">
        <v>62</v>
      </c>
      <c r="G7" s="36">
        <v>80</v>
      </c>
      <c r="H7" s="11"/>
      <c r="I7" s="17" t="s">
        <v>11</v>
      </c>
      <c r="J7" s="18">
        <v>18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44910.91250755787</v>
      </c>
      <c r="D8" s="36">
        <v>302</v>
      </c>
      <c r="E8" s="10">
        <v>18</v>
      </c>
      <c r="F8" s="10">
        <v>62</v>
      </c>
      <c r="G8" s="36">
        <v>80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44910.912512442126</v>
      </c>
      <c r="D9" s="36">
        <v>341</v>
      </c>
      <c r="E9" s="10">
        <v>18</v>
      </c>
      <c r="F9" s="10">
        <v>62</v>
      </c>
      <c r="G9" s="36">
        <v>80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44910.912517083336</v>
      </c>
      <c r="D10" s="36">
        <v>320</v>
      </c>
      <c r="E10" s="10">
        <v>18</v>
      </c>
      <c r="F10" s="10">
        <v>65</v>
      </c>
      <c r="G10" s="36">
        <v>83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44910.912521770835</v>
      </c>
      <c r="D11" s="36">
        <v>322</v>
      </c>
      <c r="E11" s="10">
        <v>19</v>
      </c>
      <c r="F11" s="10">
        <v>63</v>
      </c>
      <c r="G11" s="36">
        <v>82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44910.912526412038</v>
      </c>
      <c r="D12" s="36">
        <v>317</v>
      </c>
      <c r="E12" s="10">
        <v>19</v>
      </c>
      <c r="F12" s="10">
        <v>63</v>
      </c>
      <c r="G12" s="36">
        <v>82</v>
      </c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44910.912531018519</v>
      </c>
      <c r="D13" s="36">
        <v>317</v>
      </c>
      <c r="E13" s="10">
        <v>17</v>
      </c>
      <c r="F13" s="10">
        <v>64</v>
      </c>
      <c r="G13" s="36">
        <v>81</v>
      </c>
      <c r="H13" s="11"/>
      <c r="I13" s="24" t="s">
        <v>16</v>
      </c>
      <c r="J13" s="25">
        <f>J12+J7</f>
        <v>642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44910.912535659721</v>
      </c>
      <c r="D14" s="36">
        <v>321</v>
      </c>
      <c r="E14" s="10">
        <v>19</v>
      </c>
      <c r="F14" s="10">
        <v>64</v>
      </c>
      <c r="G14" s="36">
        <v>83</v>
      </c>
      <c r="H14" s="11"/>
      <c r="I14" s="24" t="s">
        <v>17</v>
      </c>
      <c r="J14" s="26">
        <v>628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44910.9125403125</v>
      </c>
      <c r="D15" s="36">
        <v>316</v>
      </c>
      <c r="E15" s="10">
        <v>17</v>
      </c>
      <c r="F15" s="10">
        <v>66</v>
      </c>
      <c r="G15" s="36">
        <v>83</v>
      </c>
      <c r="H15" s="11"/>
      <c r="I15" s="17" t="s">
        <v>18</v>
      </c>
      <c r="J15" s="21">
        <f>J13-J14</f>
        <v>14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44910.912544953702</v>
      </c>
      <c r="D16" s="36">
        <v>318</v>
      </c>
      <c r="E16" s="10">
        <v>18</v>
      </c>
      <c r="F16" s="10">
        <v>65</v>
      </c>
      <c r="G16" s="36">
        <v>83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44910.912549594905</v>
      </c>
      <c r="D17" s="36">
        <v>316</v>
      </c>
      <c r="E17" s="10">
        <v>19</v>
      </c>
      <c r="F17" s="10">
        <v>65</v>
      </c>
      <c r="G17" s="36">
        <v>84</v>
      </c>
      <c r="H17" s="11"/>
      <c r="I17" s="15" t="s">
        <v>19</v>
      </c>
      <c r="J17" s="16">
        <v>77.3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44910.912554247683</v>
      </c>
      <c r="D18" s="36">
        <v>319</v>
      </c>
      <c r="E18" s="10">
        <v>18</v>
      </c>
      <c r="F18" s="10">
        <v>66</v>
      </c>
      <c r="G18" s="36">
        <v>84</v>
      </c>
      <c r="H18" s="11"/>
      <c r="I18" s="24" t="s">
        <v>20</v>
      </c>
      <c r="J18" s="25">
        <v>78.900000000000006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44910.912558842596</v>
      </c>
      <c r="D19" s="36">
        <v>316</v>
      </c>
      <c r="E19" s="10">
        <v>19</v>
      </c>
      <c r="F19" s="10">
        <v>64</v>
      </c>
      <c r="G19" s="36">
        <v>83</v>
      </c>
      <c r="H19" s="11"/>
      <c r="I19" s="24" t="s">
        <v>21</v>
      </c>
      <c r="J19" s="25">
        <v>51.4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44910.912563495367</v>
      </c>
      <c r="D20" s="36">
        <v>318</v>
      </c>
      <c r="E20" s="10">
        <v>18</v>
      </c>
      <c r="F20" s="10">
        <v>64</v>
      </c>
      <c r="G20" s="36">
        <v>82</v>
      </c>
      <c r="H20" s="11"/>
      <c r="I20" s="17" t="s">
        <v>55</v>
      </c>
      <c r="J20" s="51">
        <f>J18-J19</f>
        <v>27.500000000000007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44910.912567951389</v>
      </c>
      <c r="D21" s="36">
        <v>298</v>
      </c>
      <c r="E21" s="10">
        <v>20</v>
      </c>
      <c r="F21" s="10">
        <v>65</v>
      </c>
      <c r="G21" s="36">
        <v>85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44910.912572835645</v>
      </c>
      <c r="D22" s="36">
        <v>337</v>
      </c>
      <c r="E22" s="10">
        <v>19</v>
      </c>
      <c r="F22" s="10">
        <v>66</v>
      </c>
      <c r="G22" s="36">
        <v>85</v>
      </c>
      <c r="H22" s="11"/>
      <c r="I22" s="15" t="s">
        <v>22</v>
      </c>
      <c r="J22" s="16">
        <f>COUNT(E4:E253)</f>
        <v>91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44910.912577430558</v>
      </c>
      <c r="D23" s="36">
        <v>315</v>
      </c>
      <c r="E23" s="10">
        <v>18</v>
      </c>
      <c r="F23" s="10">
        <v>66</v>
      </c>
      <c r="G23" s="36">
        <v>84</v>
      </c>
      <c r="H23" s="11"/>
      <c r="I23" s="17" t="s">
        <v>23</v>
      </c>
      <c r="J23" s="21">
        <f>J15/J22</f>
        <v>0.15384615384615385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44910.91258178241</v>
      </c>
      <c r="D24" s="36">
        <v>293</v>
      </c>
      <c r="E24" s="10">
        <v>19</v>
      </c>
      <c r="F24" s="10">
        <v>65</v>
      </c>
      <c r="G24" s="36">
        <v>84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44910.912586527775</v>
      </c>
      <c r="D25" s="36">
        <v>321</v>
      </c>
      <c r="E25" s="10">
        <v>18</v>
      </c>
      <c r="F25" s="10">
        <v>68</v>
      </c>
      <c r="G25" s="36">
        <v>86</v>
      </c>
      <c r="H25" s="11"/>
      <c r="I25" s="15" t="s">
        <v>24</v>
      </c>
      <c r="J25" s="16">
        <f>AVERAGE(E4:E1048576)</f>
        <v>23.384615384615383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44910.912591168984</v>
      </c>
      <c r="D26" s="36">
        <v>315</v>
      </c>
      <c r="E26" s="10">
        <v>19</v>
      </c>
      <c r="F26" s="10">
        <v>65</v>
      </c>
      <c r="G26" s="36">
        <v>84</v>
      </c>
      <c r="H26" s="11"/>
      <c r="I26" s="24" t="s">
        <v>25</v>
      </c>
      <c r="J26" s="25">
        <f>AVERAGE(F4:F1048576)</f>
        <v>68.758241758241752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44910.912596006943</v>
      </c>
      <c r="D27" s="36">
        <v>333</v>
      </c>
      <c r="E27" s="10">
        <v>20</v>
      </c>
      <c r="F27" s="10">
        <v>67</v>
      </c>
      <c r="G27" s="36">
        <v>87</v>
      </c>
      <c r="H27" s="11"/>
      <c r="I27" s="17" t="s">
        <v>26</v>
      </c>
      <c r="J27" s="21">
        <f>AVERAGE(D5:D1048576)</f>
        <v>307.80645161290323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44910.912600659722</v>
      </c>
      <c r="D28" s="36">
        <v>317</v>
      </c>
      <c r="E28" s="10">
        <v>19</v>
      </c>
      <c r="F28" s="10">
        <v>64</v>
      </c>
      <c r="G28" s="36">
        <v>83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44910.912605057871</v>
      </c>
      <c r="D29" s="36">
        <v>299</v>
      </c>
      <c r="E29" s="10">
        <v>18</v>
      </c>
      <c r="F29" s="10">
        <v>65</v>
      </c>
      <c r="G29" s="36">
        <v>83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44910.912609710649</v>
      </c>
      <c r="D30" s="36">
        <v>316</v>
      </c>
      <c r="E30" s="10">
        <v>19</v>
      </c>
      <c r="F30" s="10">
        <v>67</v>
      </c>
      <c r="G30" s="36">
        <v>86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44910.912614317131</v>
      </c>
      <c r="D31" s="36">
        <v>310</v>
      </c>
      <c r="E31" s="10">
        <v>20</v>
      </c>
      <c r="F31" s="10">
        <v>66</v>
      </c>
      <c r="G31" s="36">
        <v>86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44910.91261900463</v>
      </c>
      <c r="D32" s="36">
        <v>320</v>
      </c>
      <c r="E32" s="10">
        <v>19</v>
      </c>
      <c r="F32" s="10">
        <v>68</v>
      </c>
      <c r="G32" s="36">
        <v>87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44910.912623888886</v>
      </c>
      <c r="D33" s="36">
        <v>333</v>
      </c>
      <c r="E33" s="10">
        <v>19</v>
      </c>
      <c r="F33" s="10">
        <v>68</v>
      </c>
      <c r="G33" s="36">
        <v>87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44910.912628287035</v>
      </c>
      <c r="D34" s="36">
        <v>293</v>
      </c>
      <c r="E34" s="10">
        <v>19</v>
      </c>
      <c r="F34" s="10">
        <v>68</v>
      </c>
      <c r="G34" s="36">
        <v>87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44910.912632939813</v>
      </c>
      <c r="D35" s="36">
        <v>313</v>
      </c>
      <c r="E35" s="10">
        <v>19</v>
      </c>
      <c r="F35" s="10">
        <v>69</v>
      </c>
      <c r="G35" s="36">
        <v>88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44910.912637581016</v>
      </c>
      <c r="D36" s="36">
        <v>312</v>
      </c>
      <c r="E36" s="10">
        <v>21</v>
      </c>
      <c r="F36" s="10">
        <v>67</v>
      </c>
      <c r="G36" s="36">
        <v>88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44910.912642187497</v>
      </c>
      <c r="D37" s="36">
        <v>312</v>
      </c>
      <c r="E37" s="10">
        <v>19</v>
      </c>
      <c r="F37" s="10">
        <v>68</v>
      </c>
      <c r="G37" s="36">
        <v>87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44910.912646828707</v>
      </c>
      <c r="D38" s="36">
        <v>311</v>
      </c>
      <c r="E38" s="10">
        <v>20</v>
      </c>
      <c r="F38" s="10">
        <v>70</v>
      </c>
      <c r="G38" s="36">
        <v>90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44910.912651469909</v>
      </c>
      <c r="D39" s="36">
        <v>313</v>
      </c>
      <c r="E39" s="10">
        <v>20</v>
      </c>
      <c r="F39" s="10">
        <v>66</v>
      </c>
      <c r="G39" s="36">
        <v>86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44910.912656076391</v>
      </c>
      <c r="D40" s="36">
        <v>313</v>
      </c>
      <c r="E40" s="10">
        <v>20</v>
      </c>
      <c r="F40" s="10">
        <v>67</v>
      </c>
      <c r="G40" s="36">
        <v>87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44910.91266076389</v>
      </c>
      <c r="D41" s="36">
        <v>316</v>
      </c>
      <c r="E41" s="10">
        <v>20</v>
      </c>
      <c r="F41" s="10">
        <v>69</v>
      </c>
      <c r="G41" s="36">
        <v>89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44910.912665405092</v>
      </c>
      <c r="D42" s="36">
        <v>312</v>
      </c>
      <c r="E42" s="10">
        <v>19</v>
      </c>
      <c r="F42" s="10">
        <v>68</v>
      </c>
      <c r="G42" s="36">
        <v>87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44910.912670057871</v>
      </c>
      <c r="D43" s="36">
        <v>312</v>
      </c>
      <c r="E43" s="10">
        <v>20</v>
      </c>
      <c r="F43" s="10">
        <v>71</v>
      </c>
      <c r="G43" s="36">
        <v>91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44910.912674884261</v>
      </c>
      <c r="D44" s="36">
        <v>331</v>
      </c>
      <c r="E44" s="10">
        <v>20</v>
      </c>
      <c r="F44" s="10">
        <v>68</v>
      </c>
      <c r="G44" s="36">
        <v>88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44910.912679293979</v>
      </c>
      <c r="D45" s="36">
        <v>291</v>
      </c>
      <c r="E45" s="10">
        <v>21</v>
      </c>
      <c r="F45" s="10">
        <v>69</v>
      </c>
      <c r="G45" s="36">
        <v>90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44910.912683946757</v>
      </c>
      <c r="D46" s="36">
        <v>310</v>
      </c>
      <c r="E46" s="10">
        <v>21</v>
      </c>
      <c r="F46" s="10">
        <v>68</v>
      </c>
      <c r="G46" s="36">
        <v>89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44910.912688784723</v>
      </c>
      <c r="D47" s="36">
        <v>328</v>
      </c>
      <c r="E47" s="10">
        <v>21</v>
      </c>
      <c r="F47" s="10">
        <v>68</v>
      </c>
      <c r="G47" s="36">
        <v>89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44910.912693483799</v>
      </c>
      <c r="D48" s="36">
        <v>316</v>
      </c>
      <c r="E48" s="10">
        <v>21</v>
      </c>
      <c r="F48" s="10">
        <v>72</v>
      </c>
      <c r="G48" s="36">
        <v>93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44910.912698078704</v>
      </c>
      <c r="D49" s="36">
        <v>308</v>
      </c>
      <c r="E49" s="10">
        <v>21</v>
      </c>
      <c r="F49" s="10">
        <v>68</v>
      </c>
      <c r="G49" s="36">
        <v>89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44910.912702719907</v>
      </c>
      <c r="D50" s="36">
        <v>307</v>
      </c>
      <c r="E50" s="10">
        <v>22</v>
      </c>
      <c r="F50" s="10">
        <v>68</v>
      </c>
      <c r="G50" s="36">
        <v>90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44910.912707361109</v>
      </c>
      <c r="D51" s="36">
        <v>314</v>
      </c>
      <c r="E51" s="10">
        <v>21</v>
      </c>
      <c r="F51" s="10">
        <v>68</v>
      </c>
      <c r="G51" s="36">
        <v>89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44910.912712060184</v>
      </c>
      <c r="D52" s="36">
        <v>312</v>
      </c>
      <c r="E52" s="10">
        <v>21</v>
      </c>
      <c r="F52" s="10">
        <v>71</v>
      </c>
      <c r="G52" s="36">
        <v>92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44910.912716412036</v>
      </c>
      <c r="D53" s="36">
        <v>287</v>
      </c>
      <c r="E53" s="10">
        <v>21</v>
      </c>
      <c r="F53" s="10">
        <v>69</v>
      </c>
      <c r="G53" s="36">
        <v>90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44910.912721296299</v>
      </c>
      <c r="D54" s="36">
        <v>329</v>
      </c>
      <c r="E54" s="10">
        <v>22</v>
      </c>
      <c r="F54" s="10">
        <v>72</v>
      </c>
      <c r="G54" s="36">
        <v>94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44910.912725706017</v>
      </c>
      <c r="D55" s="36">
        <v>289</v>
      </c>
      <c r="E55" s="10">
        <v>21</v>
      </c>
      <c r="F55" s="10">
        <v>70</v>
      </c>
      <c r="G55" s="36">
        <v>91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>
        <v>44910.912730358796</v>
      </c>
      <c r="D56" s="36">
        <v>307</v>
      </c>
      <c r="E56" s="10">
        <v>22</v>
      </c>
      <c r="F56" s="10">
        <v>71</v>
      </c>
      <c r="G56" s="36">
        <v>93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>
        <v>44910.912735046295</v>
      </c>
      <c r="D57" s="36">
        <v>310</v>
      </c>
      <c r="E57" s="10">
        <v>23</v>
      </c>
      <c r="F57" s="10">
        <v>72</v>
      </c>
      <c r="G57" s="36">
        <v>95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>
        <v>44910.912739652777</v>
      </c>
      <c r="D58" s="36">
        <v>301</v>
      </c>
      <c r="E58" s="10">
        <v>23</v>
      </c>
      <c r="F58" s="10">
        <v>73</v>
      </c>
      <c r="G58" s="36">
        <v>96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>
        <v>44910.912744236113</v>
      </c>
      <c r="D59" s="36">
        <v>306</v>
      </c>
      <c r="E59" s="10">
        <v>23</v>
      </c>
      <c r="F59" s="10">
        <v>69</v>
      </c>
      <c r="G59" s="36">
        <v>92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>
        <v>44910.912748888892</v>
      </c>
      <c r="D60" s="36">
        <v>307</v>
      </c>
      <c r="E60" s="10">
        <v>24</v>
      </c>
      <c r="F60" s="10">
        <v>72</v>
      </c>
      <c r="G60" s="36">
        <v>96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>
        <v>44910.912753530094</v>
      </c>
      <c r="D61" s="36">
        <v>308</v>
      </c>
      <c r="E61" s="10">
        <v>22</v>
      </c>
      <c r="F61" s="10">
        <v>71</v>
      </c>
      <c r="G61" s="36">
        <v>93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>
        <v>44910.912758136576</v>
      </c>
      <c r="D62" s="36">
        <v>303</v>
      </c>
      <c r="E62" s="10">
        <v>24</v>
      </c>
      <c r="F62" s="10">
        <v>70</v>
      </c>
      <c r="G62" s="36">
        <v>94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>
        <v>44910.912762824075</v>
      </c>
      <c r="D63" s="36">
        <v>309</v>
      </c>
      <c r="E63" s="10">
        <v>23</v>
      </c>
      <c r="F63" s="10">
        <v>72</v>
      </c>
      <c r="G63" s="36">
        <v>95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>
        <v>44910.912767430556</v>
      </c>
      <c r="D64" s="36">
        <v>304</v>
      </c>
      <c r="E64" s="10">
        <v>24</v>
      </c>
      <c r="F64" s="10">
        <v>70</v>
      </c>
      <c r="G64" s="36">
        <v>94</v>
      </c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>
        <v>44910.912772118056</v>
      </c>
      <c r="D65" s="36">
        <v>308</v>
      </c>
      <c r="E65" s="10">
        <v>24</v>
      </c>
      <c r="F65" s="10">
        <v>75</v>
      </c>
      <c r="G65" s="36">
        <v>99</v>
      </c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>
        <v>44910.912776712961</v>
      </c>
      <c r="D66" s="36">
        <v>299</v>
      </c>
      <c r="E66" s="10">
        <v>23</v>
      </c>
      <c r="F66" s="10">
        <v>73</v>
      </c>
      <c r="G66" s="36">
        <v>96</v>
      </c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9">
        <v>44910.91278136574</v>
      </c>
      <c r="D67" s="36">
        <v>305</v>
      </c>
      <c r="E67" s="10">
        <v>25</v>
      </c>
      <c r="F67" s="10">
        <v>70</v>
      </c>
      <c r="G67" s="36">
        <v>95</v>
      </c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>
        <v>44910.912786006942</v>
      </c>
      <c r="D68" s="36">
        <v>306</v>
      </c>
      <c r="E68" s="10">
        <v>24</v>
      </c>
      <c r="F68" s="10">
        <v>72</v>
      </c>
      <c r="G68" s="36">
        <v>96</v>
      </c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9">
        <v>44910.912790648152</v>
      </c>
      <c r="D69" s="36">
        <v>302</v>
      </c>
      <c r="E69" s="10">
        <v>24</v>
      </c>
      <c r="F69" s="10">
        <v>73</v>
      </c>
      <c r="G69" s="36">
        <v>97</v>
      </c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>
        <v>44910.912795254633</v>
      </c>
      <c r="D70" s="36">
        <v>303</v>
      </c>
      <c r="E70" s="10">
        <v>25</v>
      </c>
      <c r="F70" s="10">
        <v>73</v>
      </c>
      <c r="G70" s="36">
        <v>98</v>
      </c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9">
        <v>44910.912799942133</v>
      </c>
      <c r="D71" s="36">
        <v>305</v>
      </c>
      <c r="E71" s="10">
        <v>25</v>
      </c>
      <c r="F71" s="10">
        <v>72</v>
      </c>
      <c r="G71" s="36">
        <v>97</v>
      </c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9">
        <v>44910.912804548614</v>
      </c>
      <c r="D72" s="36">
        <v>302</v>
      </c>
      <c r="E72" s="10">
        <v>27</v>
      </c>
      <c r="F72" s="10">
        <v>71</v>
      </c>
      <c r="G72" s="36">
        <v>98</v>
      </c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>
        <v>44910.912809201393</v>
      </c>
      <c r="D73" s="36">
        <v>302</v>
      </c>
      <c r="E73" s="10">
        <v>26</v>
      </c>
      <c r="F73" s="10">
        <v>73</v>
      </c>
      <c r="G73" s="36">
        <v>99</v>
      </c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>
        <v>44910.912813831019</v>
      </c>
      <c r="D74" s="36">
        <v>301</v>
      </c>
      <c r="E74" s="10">
        <v>25</v>
      </c>
      <c r="F74" s="10">
        <v>72</v>
      </c>
      <c r="G74" s="36">
        <v>97</v>
      </c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>
        <v>44910.912818425924</v>
      </c>
      <c r="D75" s="36">
        <v>301</v>
      </c>
      <c r="E75" s="10">
        <v>27</v>
      </c>
      <c r="F75" s="10">
        <v>71</v>
      </c>
      <c r="G75" s="36">
        <v>98</v>
      </c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>
        <v>44910.912823136576</v>
      </c>
      <c r="D76" s="36">
        <v>305</v>
      </c>
      <c r="E76" s="10">
        <v>27</v>
      </c>
      <c r="F76" s="10">
        <v>73</v>
      </c>
      <c r="G76" s="36">
        <v>100</v>
      </c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>
        <v>44910.912827777778</v>
      </c>
      <c r="D77" s="36">
        <v>300</v>
      </c>
      <c r="E77" s="10">
        <v>28</v>
      </c>
      <c r="F77" s="10">
        <v>72</v>
      </c>
      <c r="G77" s="36">
        <v>100</v>
      </c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>
        <v>44910.912832372684</v>
      </c>
      <c r="D78" s="36">
        <v>299</v>
      </c>
      <c r="E78" s="10">
        <v>29</v>
      </c>
      <c r="F78" s="10">
        <v>71</v>
      </c>
      <c r="G78" s="36">
        <v>100</v>
      </c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>
        <v>44910.912837025462</v>
      </c>
      <c r="D79" s="36">
        <v>303</v>
      </c>
      <c r="E79" s="10">
        <v>28</v>
      </c>
      <c r="F79" s="10">
        <v>70</v>
      </c>
      <c r="G79" s="36">
        <v>98</v>
      </c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>
        <v>44910.912841666664</v>
      </c>
      <c r="D80" s="36">
        <v>301</v>
      </c>
      <c r="E80" s="10">
        <v>29</v>
      </c>
      <c r="F80" s="10">
        <v>71</v>
      </c>
      <c r="G80" s="36">
        <v>100</v>
      </c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>
        <v>44910.912846319443</v>
      </c>
      <c r="D81" s="36">
        <v>300</v>
      </c>
      <c r="E81" s="10">
        <v>30</v>
      </c>
      <c r="F81" s="10">
        <v>71</v>
      </c>
      <c r="G81" s="36">
        <v>101</v>
      </c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>
        <v>44910.912850960645</v>
      </c>
      <c r="D82" s="36">
        <v>300</v>
      </c>
      <c r="E82" s="10">
        <v>30</v>
      </c>
      <c r="F82" s="10">
        <v>71</v>
      </c>
      <c r="G82" s="36">
        <v>101</v>
      </c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>
        <v>44910.912855648145</v>
      </c>
      <c r="D83" s="36">
        <v>301</v>
      </c>
      <c r="E83" s="10">
        <v>31</v>
      </c>
      <c r="F83" s="10">
        <v>72</v>
      </c>
      <c r="G83" s="36">
        <v>103</v>
      </c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>
        <v>44910.912860243057</v>
      </c>
      <c r="D84" s="36">
        <v>297</v>
      </c>
      <c r="E84" s="10">
        <v>30</v>
      </c>
      <c r="F84" s="10">
        <v>72</v>
      </c>
      <c r="G84" s="36">
        <v>102</v>
      </c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>
        <v>44910.91286488426</v>
      </c>
      <c r="D85" s="36">
        <v>296</v>
      </c>
      <c r="E85" s="10">
        <v>33</v>
      </c>
      <c r="F85" s="10">
        <v>72</v>
      </c>
      <c r="G85" s="36">
        <v>105</v>
      </c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9">
        <v>44910.912869537038</v>
      </c>
      <c r="D86" s="36">
        <v>295</v>
      </c>
      <c r="E86" s="10">
        <v>33</v>
      </c>
      <c r="F86" s="10">
        <v>73</v>
      </c>
      <c r="G86" s="36">
        <v>106</v>
      </c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6.5" x14ac:dyDescent="0.25">
      <c r="A87" s="1"/>
      <c r="B87" s="8">
        <f t="shared" si="1"/>
        <v>84</v>
      </c>
      <c r="C87" s="9">
        <v>44910.912874178241</v>
      </c>
      <c r="D87" s="36">
        <v>294</v>
      </c>
      <c r="E87" s="10">
        <v>34</v>
      </c>
      <c r="F87" s="10">
        <v>70</v>
      </c>
      <c r="G87" s="36">
        <v>104</v>
      </c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6.5" x14ac:dyDescent="0.25">
      <c r="A88" s="1"/>
      <c r="B88" s="8">
        <f t="shared" si="1"/>
        <v>85</v>
      </c>
      <c r="C88" s="9">
        <v>44910.912878831019</v>
      </c>
      <c r="D88" s="36">
        <v>296</v>
      </c>
      <c r="E88" s="10">
        <v>35</v>
      </c>
      <c r="F88" s="10">
        <v>72</v>
      </c>
      <c r="G88" s="36">
        <v>107</v>
      </c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6.5" x14ac:dyDescent="0.25">
      <c r="A89" s="1"/>
      <c r="B89" s="8">
        <f t="shared" si="1"/>
        <v>86</v>
      </c>
      <c r="C89" s="9">
        <v>44910.912883472221</v>
      </c>
      <c r="D89" s="36">
        <v>294</v>
      </c>
      <c r="E89" s="10">
        <v>35</v>
      </c>
      <c r="F89" s="10">
        <v>72</v>
      </c>
      <c r="G89" s="36">
        <v>107</v>
      </c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6.5" x14ac:dyDescent="0.25">
      <c r="A90" s="1"/>
      <c r="B90" s="8">
        <f t="shared" si="1"/>
        <v>87</v>
      </c>
      <c r="C90" s="9">
        <v>44910.912888113424</v>
      </c>
      <c r="D90" s="36">
        <v>291</v>
      </c>
      <c r="E90" s="10">
        <v>39</v>
      </c>
      <c r="F90" s="10">
        <v>72</v>
      </c>
      <c r="G90" s="36">
        <v>111</v>
      </c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6.5" x14ac:dyDescent="0.25">
      <c r="A91" s="1"/>
      <c r="B91" s="8">
        <f t="shared" si="1"/>
        <v>88</v>
      </c>
      <c r="C91" s="9">
        <v>44910.912892766202</v>
      </c>
      <c r="D91" s="36">
        <v>289</v>
      </c>
      <c r="E91" s="10">
        <v>43</v>
      </c>
      <c r="F91" s="10">
        <v>70</v>
      </c>
      <c r="G91" s="36">
        <v>113</v>
      </c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6.5" x14ac:dyDescent="0.25">
      <c r="A92" s="1"/>
      <c r="B92" s="8">
        <f t="shared" si="1"/>
        <v>89</v>
      </c>
      <c r="C92" s="9">
        <v>44910.912897465278</v>
      </c>
      <c r="D92" s="36">
        <v>291</v>
      </c>
      <c r="E92" s="10">
        <v>42</v>
      </c>
      <c r="F92" s="10">
        <v>71</v>
      </c>
      <c r="G92" s="36">
        <v>113</v>
      </c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6.5" x14ac:dyDescent="0.25">
      <c r="A93" s="1"/>
      <c r="B93" s="8">
        <f t="shared" si="1"/>
        <v>90</v>
      </c>
      <c r="C93" s="9">
        <v>44910.912902060183</v>
      </c>
      <c r="D93" s="36">
        <v>283</v>
      </c>
      <c r="E93" s="10">
        <v>43</v>
      </c>
      <c r="F93" s="10">
        <v>72</v>
      </c>
      <c r="G93" s="36">
        <v>115</v>
      </c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6.5" x14ac:dyDescent="0.25">
      <c r="A94" s="1"/>
      <c r="B94" s="8">
        <f t="shared" si="1"/>
        <v>91</v>
      </c>
      <c r="C94" s="9">
        <v>44910.912906944446</v>
      </c>
      <c r="D94" s="36">
        <v>305</v>
      </c>
      <c r="E94" s="10">
        <v>43</v>
      </c>
      <c r="F94" s="10">
        <v>71</v>
      </c>
      <c r="G94" s="36">
        <v>114</v>
      </c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6.5" x14ac:dyDescent="0.25">
      <c r="A95" s="1"/>
      <c r="B95" s="8">
        <f t="shared" si="1"/>
        <v>92</v>
      </c>
      <c r="C95" s="9">
        <v>44910.912911597225</v>
      </c>
      <c r="D95" s="36">
        <v>284</v>
      </c>
      <c r="E95" s="10" t="s">
        <v>29</v>
      </c>
      <c r="F95" s="10" t="s">
        <v>29</v>
      </c>
      <c r="G95" s="36">
        <v>123</v>
      </c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6.5" x14ac:dyDescent="0.25">
      <c r="A96" s="1"/>
      <c r="B96" s="8">
        <f t="shared" si="1"/>
        <v>93</v>
      </c>
      <c r="C96" s="9">
        <v>44910.912916238427</v>
      </c>
      <c r="D96" s="10">
        <v>278</v>
      </c>
      <c r="E96" s="10" t="s">
        <v>29</v>
      </c>
      <c r="F96" s="10" t="s">
        <v>29</v>
      </c>
      <c r="G96" s="10">
        <v>122</v>
      </c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6.5" x14ac:dyDescent="0.25">
      <c r="A97" s="1"/>
      <c r="B97" s="8">
        <f t="shared" si="1"/>
        <v>94</v>
      </c>
      <c r="C97" s="33">
        <v>44910.912920833332</v>
      </c>
      <c r="D97" s="34">
        <v>278</v>
      </c>
      <c r="E97" s="35" t="s">
        <v>29</v>
      </c>
      <c r="F97" s="35" t="s">
        <v>29</v>
      </c>
      <c r="G97" s="34">
        <v>121</v>
      </c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ime_x000d__x000a__x000d__x000a_TBL_HST[TIME]" sqref="C4:C97" xr:uid="{A0A0CBE0-E99E-4E72-BF5B-672C04068E05}"/>
    <dataValidation allowBlank="1" showInputMessage="1" showErrorMessage="1" prompt="TBL_HST[CH1]" sqref="D4:D97" xr:uid="{B93F5CFE-1F15-4A34-BB47-15C34AFD90FF}"/>
    <dataValidation allowBlank="1" showInputMessage="1" showErrorMessage="1" prompt="TBL_HST[CH4]" sqref="G4:G97" xr:uid="{4006868C-2E7A-48C9-BD86-D00CED4E5707}"/>
    <dataValidation allowBlank="1" showInputMessage="1" showErrorMessage="1" prompt="TBL_HST[CH2]" sqref="E4:E97" xr:uid="{9E7013C2-B331-4C9F-B84F-8FB552F4D1F6}"/>
    <dataValidation allowBlank="1" showInputMessage="1" showErrorMessage="1" prompt="TBL_HST[CH3]" sqref="F4:F97" xr:uid="{A952A545-6847-4F72-A9F3-6080E42E196F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36B9C-54AE-4ADA-9933-5E3A962C4E85}">
  <sheetPr codeName="Sheet16"/>
  <dimension ref="A1:AH2445"/>
  <sheetViews>
    <sheetView topLeftCell="B1" zoomScaleNormal="100" workbookViewId="0">
      <selection activeCell="L42" sqref="L42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44910.925785370368</v>
      </c>
      <c r="D4" s="36">
        <v>4059</v>
      </c>
      <c r="E4" s="10">
        <v>18</v>
      </c>
      <c r="F4" s="10">
        <v>63</v>
      </c>
      <c r="G4" s="36">
        <v>81</v>
      </c>
      <c r="H4" s="11"/>
      <c r="I4" s="12" t="s">
        <v>8</v>
      </c>
      <c r="J4" s="13">
        <v>3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44910.925790069443</v>
      </c>
      <c r="D5" s="36">
        <v>322</v>
      </c>
      <c r="E5" s="10">
        <v>17</v>
      </c>
      <c r="F5" s="10">
        <v>68</v>
      </c>
      <c r="G5" s="36">
        <v>85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44910.925794664348</v>
      </c>
      <c r="D6" s="36">
        <v>314</v>
      </c>
      <c r="E6" s="10">
        <v>17</v>
      </c>
      <c r="F6" s="10">
        <v>65</v>
      </c>
      <c r="G6" s="36">
        <v>82</v>
      </c>
      <c r="H6" s="11"/>
      <c r="I6" s="15" t="s">
        <v>9</v>
      </c>
      <c r="J6" s="16" t="s">
        <v>28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44910.925799594908</v>
      </c>
      <c r="D7" s="36">
        <v>342</v>
      </c>
      <c r="E7" s="10">
        <v>17</v>
      </c>
      <c r="F7" s="10">
        <v>65</v>
      </c>
      <c r="G7" s="36">
        <v>82</v>
      </c>
      <c r="H7" s="11"/>
      <c r="I7" s="17" t="s">
        <v>11</v>
      </c>
      <c r="J7" s="18">
        <v>18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44910.925804004626</v>
      </c>
      <c r="D8" s="36">
        <v>298</v>
      </c>
      <c r="E8" s="10">
        <v>17</v>
      </c>
      <c r="F8" s="10">
        <v>66</v>
      </c>
      <c r="G8" s="36">
        <v>83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44910.925808645836</v>
      </c>
      <c r="D9" s="36">
        <v>318</v>
      </c>
      <c r="E9" s="10">
        <v>19</v>
      </c>
      <c r="F9" s="10">
        <v>66</v>
      </c>
      <c r="G9" s="36">
        <v>85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44910.925813194444</v>
      </c>
      <c r="D10" s="36">
        <v>313</v>
      </c>
      <c r="E10" s="10">
        <v>17</v>
      </c>
      <c r="F10" s="10">
        <v>65</v>
      </c>
      <c r="G10" s="36">
        <v>82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44910.92581789352</v>
      </c>
      <c r="D11" s="36">
        <v>321</v>
      </c>
      <c r="E11" s="10">
        <v>18</v>
      </c>
      <c r="F11" s="10">
        <v>66</v>
      </c>
      <c r="G11" s="36">
        <v>84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44910.925822592595</v>
      </c>
      <c r="D12" s="36">
        <v>318</v>
      </c>
      <c r="E12" s="10">
        <v>19</v>
      </c>
      <c r="F12" s="10">
        <v>65</v>
      </c>
      <c r="G12" s="36">
        <v>84</v>
      </c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44910.925827280094</v>
      </c>
      <c r="D13" s="36">
        <v>319</v>
      </c>
      <c r="E13" s="10">
        <v>18</v>
      </c>
      <c r="F13" s="10">
        <v>68</v>
      </c>
      <c r="G13" s="36">
        <v>86</v>
      </c>
      <c r="H13" s="11"/>
      <c r="I13" s="24" t="s">
        <v>16</v>
      </c>
      <c r="J13" s="25">
        <f>J12+J7</f>
        <v>642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44910.925831875</v>
      </c>
      <c r="D14" s="36">
        <v>314</v>
      </c>
      <c r="E14" s="10">
        <v>19</v>
      </c>
      <c r="F14" s="10">
        <v>65</v>
      </c>
      <c r="G14" s="36">
        <v>84</v>
      </c>
      <c r="H14" s="11"/>
      <c r="I14" s="24" t="s">
        <v>17</v>
      </c>
      <c r="J14" s="26">
        <v>628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44910.925836516202</v>
      </c>
      <c r="D15" s="36">
        <v>318</v>
      </c>
      <c r="E15" s="10">
        <v>18</v>
      </c>
      <c r="F15" s="10">
        <v>67</v>
      </c>
      <c r="G15" s="36">
        <v>85</v>
      </c>
      <c r="H15" s="11"/>
      <c r="I15" s="17" t="s">
        <v>18</v>
      </c>
      <c r="J15" s="21">
        <f>J13-J14</f>
        <v>14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44910.925841215278</v>
      </c>
      <c r="D16" s="36">
        <v>315</v>
      </c>
      <c r="E16" s="10">
        <v>20</v>
      </c>
      <c r="F16" s="10">
        <v>68</v>
      </c>
      <c r="G16" s="36">
        <v>88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44910.925845775462</v>
      </c>
      <c r="D17" s="36">
        <v>311</v>
      </c>
      <c r="E17" s="10" t="s">
        <v>29</v>
      </c>
      <c r="F17" s="10" t="s">
        <v>29</v>
      </c>
      <c r="G17" s="36">
        <v>86</v>
      </c>
      <c r="H17" s="11"/>
      <c r="I17" s="15" t="s">
        <v>19</v>
      </c>
      <c r="J17" s="16">
        <v>77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44910.925850462962</v>
      </c>
      <c r="D18" s="36">
        <v>318</v>
      </c>
      <c r="E18" s="10">
        <v>18</v>
      </c>
      <c r="F18" s="10">
        <v>67</v>
      </c>
      <c r="G18" s="36">
        <v>85</v>
      </c>
      <c r="H18" s="11"/>
      <c r="I18" s="24" t="s">
        <v>20</v>
      </c>
      <c r="J18" s="25">
        <v>78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44910.925855104164</v>
      </c>
      <c r="D19" s="36">
        <v>315</v>
      </c>
      <c r="E19" s="10">
        <v>19</v>
      </c>
      <c r="F19" s="10">
        <v>68</v>
      </c>
      <c r="G19" s="36">
        <v>87</v>
      </c>
      <c r="H19" s="11"/>
      <c r="I19" s="24" t="s">
        <v>21</v>
      </c>
      <c r="J19" s="25">
        <v>51.6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44910.925859756942</v>
      </c>
      <c r="D20" s="36">
        <v>313</v>
      </c>
      <c r="E20" s="10">
        <v>19</v>
      </c>
      <c r="F20" s="10">
        <v>69</v>
      </c>
      <c r="G20" s="36">
        <v>88</v>
      </c>
      <c r="H20" s="11"/>
      <c r="I20" s="17" t="s">
        <v>55</v>
      </c>
      <c r="J20" s="51">
        <f>J18-J19</f>
        <v>26.4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44910.925864398145</v>
      </c>
      <c r="D21" s="36">
        <v>312</v>
      </c>
      <c r="E21" s="10">
        <v>19</v>
      </c>
      <c r="F21" s="10">
        <v>67</v>
      </c>
      <c r="G21" s="36">
        <v>86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44910.925868993058</v>
      </c>
      <c r="D22" s="36">
        <v>314</v>
      </c>
      <c r="E22" s="10">
        <v>20</v>
      </c>
      <c r="F22" s="10">
        <v>66</v>
      </c>
      <c r="G22" s="36">
        <v>86</v>
      </c>
      <c r="H22" s="11"/>
      <c r="I22" s="15" t="s">
        <v>22</v>
      </c>
      <c r="J22" s="16">
        <f>COUNT(E4:E253)</f>
        <v>86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44910.925873692133</v>
      </c>
      <c r="D23" s="36">
        <v>315</v>
      </c>
      <c r="E23" s="10">
        <v>19</v>
      </c>
      <c r="F23" s="10">
        <v>69</v>
      </c>
      <c r="G23" s="36">
        <v>88</v>
      </c>
      <c r="H23" s="11"/>
      <c r="I23" s="17" t="s">
        <v>23</v>
      </c>
      <c r="J23" s="21">
        <f>J15/J22</f>
        <v>0.16279069767441862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44910.925878333335</v>
      </c>
      <c r="D24" s="36">
        <v>313</v>
      </c>
      <c r="E24" s="10">
        <v>20</v>
      </c>
      <c r="F24" s="10">
        <v>68</v>
      </c>
      <c r="G24" s="36">
        <v>88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44910.925882928241</v>
      </c>
      <c r="D25" s="36">
        <v>311</v>
      </c>
      <c r="E25" s="10">
        <v>19</v>
      </c>
      <c r="F25" s="10">
        <v>67</v>
      </c>
      <c r="G25" s="36">
        <v>86</v>
      </c>
      <c r="H25" s="11"/>
      <c r="I25" s="15" t="s">
        <v>24</v>
      </c>
      <c r="J25" s="16">
        <f>AVERAGE(E4:E1048576)</f>
        <v>23.581395348837209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44910.925887534722</v>
      </c>
      <c r="D26" s="36">
        <v>313</v>
      </c>
      <c r="E26" s="10">
        <v>19</v>
      </c>
      <c r="F26" s="10">
        <v>68</v>
      </c>
      <c r="G26" s="36">
        <v>87</v>
      </c>
      <c r="H26" s="11"/>
      <c r="I26" s="24" t="s">
        <v>25</v>
      </c>
      <c r="J26" s="25">
        <f>AVERAGE(F4:F1048576)</f>
        <v>69.151162790697668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44910.925892222222</v>
      </c>
      <c r="D27" s="36">
        <v>316</v>
      </c>
      <c r="E27" s="10">
        <v>20</v>
      </c>
      <c r="F27" s="10">
        <v>68</v>
      </c>
      <c r="G27" s="36">
        <v>88</v>
      </c>
      <c r="H27" s="11"/>
      <c r="I27" s="17" t="s">
        <v>26</v>
      </c>
      <c r="J27" s="21">
        <f>AVERAGE(D5:D1048576)</f>
        <v>307.07777777777778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44910.925896875</v>
      </c>
      <c r="D28" s="36">
        <v>314</v>
      </c>
      <c r="E28" s="10">
        <v>19</v>
      </c>
      <c r="F28" s="10">
        <v>67</v>
      </c>
      <c r="G28" s="36">
        <v>86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44910.925901469906</v>
      </c>
      <c r="D29" s="36">
        <v>312</v>
      </c>
      <c r="E29" s="10">
        <v>20</v>
      </c>
      <c r="F29" s="10">
        <v>66</v>
      </c>
      <c r="G29" s="36">
        <v>86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44910.925906157405</v>
      </c>
      <c r="D30" s="36">
        <v>314</v>
      </c>
      <c r="E30" s="10">
        <v>21</v>
      </c>
      <c r="F30" s="10">
        <v>70</v>
      </c>
      <c r="G30" s="36">
        <v>91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44910.925910810183</v>
      </c>
      <c r="D31" s="36">
        <v>313</v>
      </c>
      <c r="E31" s="10">
        <v>20</v>
      </c>
      <c r="F31" s="10">
        <v>69</v>
      </c>
      <c r="G31" s="36">
        <v>89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44910.925915358799</v>
      </c>
      <c r="D32" s="36">
        <v>312</v>
      </c>
      <c r="E32" s="10" t="s">
        <v>29</v>
      </c>
      <c r="F32" s="10" t="s">
        <v>29</v>
      </c>
      <c r="G32" s="36">
        <v>85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44910.925920057867</v>
      </c>
      <c r="D33" s="36">
        <v>312</v>
      </c>
      <c r="E33" s="10">
        <v>19</v>
      </c>
      <c r="F33" s="10">
        <v>69</v>
      </c>
      <c r="G33" s="36">
        <v>88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44910.925924606483</v>
      </c>
      <c r="D34" s="36">
        <v>308</v>
      </c>
      <c r="E34" s="10">
        <v>20</v>
      </c>
      <c r="F34" s="10">
        <v>67</v>
      </c>
      <c r="G34" s="36">
        <v>87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44910.925929340279</v>
      </c>
      <c r="D35" s="36">
        <v>319</v>
      </c>
      <c r="E35" s="10">
        <v>20</v>
      </c>
      <c r="F35" s="10">
        <v>70</v>
      </c>
      <c r="G35" s="36">
        <v>90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44910.925934027779</v>
      </c>
      <c r="D36" s="36">
        <v>315</v>
      </c>
      <c r="E36" s="10">
        <v>20</v>
      </c>
      <c r="F36" s="10">
        <v>68</v>
      </c>
      <c r="G36" s="36">
        <v>88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44910.925938541666</v>
      </c>
      <c r="D37" s="36">
        <v>302</v>
      </c>
      <c r="E37" s="10">
        <v>21</v>
      </c>
      <c r="F37" s="10">
        <v>68</v>
      </c>
      <c r="G37" s="36">
        <v>89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44910.925943287039</v>
      </c>
      <c r="D38" s="36">
        <v>318</v>
      </c>
      <c r="E38" s="10">
        <v>20</v>
      </c>
      <c r="F38" s="10">
        <v>7</v>
      </c>
      <c r="G38" s="36">
        <v>90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44910.925947974538</v>
      </c>
      <c r="D39" s="36">
        <v>314</v>
      </c>
      <c r="E39" s="10">
        <v>21</v>
      </c>
      <c r="F39" s="10">
        <v>69</v>
      </c>
      <c r="G39" s="36">
        <v>90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44910.925952534722</v>
      </c>
      <c r="D40" s="36">
        <v>304</v>
      </c>
      <c r="E40" s="10">
        <v>21</v>
      </c>
      <c r="F40" s="10">
        <v>69</v>
      </c>
      <c r="G40" s="36">
        <v>90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44910.925957175925</v>
      </c>
      <c r="D41" s="36">
        <v>315</v>
      </c>
      <c r="E41" s="10">
        <v>20</v>
      </c>
      <c r="F41" s="10">
        <v>68</v>
      </c>
      <c r="G41" s="36">
        <v>88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44910.925961817127</v>
      </c>
      <c r="D42" s="36">
        <v>311</v>
      </c>
      <c r="E42" s="10">
        <v>21</v>
      </c>
      <c r="F42" s="10">
        <v>69</v>
      </c>
      <c r="G42" s="36">
        <v>90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44910.925966365743</v>
      </c>
      <c r="D43" s="36">
        <v>303</v>
      </c>
      <c r="E43" s="10">
        <v>22</v>
      </c>
      <c r="F43" s="10">
        <v>67</v>
      </c>
      <c r="G43" s="36">
        <v>89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44910.925971111108</v>
      </c>
      <c r="D44" s="36">
        <v>317</v>
      </c>
      <c r="E44" s="10">
        <v>21</v>
      </c>
      <c r="F44" s="10">
        <v>70</v>
      </c>
      <c r="G44" s="36">
        <v>91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44910.925975752318</v>
      </c>
      <c r="D45" s="36">
        <v>309</v>
      </c>
      <c r="E45" s="10">
        <v>22</v>
      </c>
      <c r="F45" s="10">
        <v>72</v>
      </c>
      <c r="G45" s="36">
        <v>94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44910.925980347223</v>
      </c>
      <c r="D46" s="36">
        <v>308</v>
      </c>
      <c r="E46" s="10">
        <v>21</v>
      </c>
      <c r="F46" s="10">
        <v>69</v>
      </c>
      <c r="G46" s="36">
        <v>90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44910.925985046299</v>
      </c>
      <c r="D47" s="36">
        <v>311</v>
      </c>
      <c r="E47" s="10">
        <v>22</v>
      </c>
      <c r="F47" s="10">
        <v>69</v>
      </c>
      <c r="G47" s="36">
        <v>91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44910.925989687501</v>
      </c>
      <c r="D48" s="36">
        <v>308</v>
      </c>
      <c r="E48" s="10">
        <v>22</v>
      </c>
      <c r="F48" s="10">
        <v>74</v>
      </c>
      <c r="G48" s="36">
        <v>96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44910.925994293983</v>
      </c>
      <c r="D49" s="36">
        <v>304</v>
      </c>
      <c r="E49" s="10">
        <v>22</v>
      </c>
      <c r="F49" s="10">
        <v>70</v>
      </c>
      <c r="G49" s="36">
        <v>92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44910.925998935185</v>
      </c>
      <c r="D50" s="36">
        <v>308</v>
      </c>
      <c r="E50" s="10">
        <v>23</v>
      </c>
      <c r="F50" s="10">
        <v>69</v>
      </c>
      <c r="G50" s="36">
        <v>92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44910.926003587963</v>
      </c>
      <c r="D51" s="36">
        <v>312</v>
      </c>
      <c r="E51" s="10">
        <v>21</v>
      </c>
      <c r="F51" s="10">
        <v>70</v>
      </c>
      <c r="G51" s="36">
        <v>91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44910.926008229166</v>
      </c>
      <c r="D52" s="36">
        <v>303</v>
      </c>
      <c r="E52" s="10">
        <v>22</v>
      </c>
      <c r="F52" s="10">
        <v>73</v>
      </c>
      <c r="G52" s="36">
        <v>95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44910.926012824071</v>
      </c>
      <c r="D53" s="36">
        <v>309</v>
      </c>
      <c r="E53" s="10">
        <v>23</v>
      </c>
      <c r="F53" s="10">
        <v>70</v>
      </c>
      <c r="G53" s="36">
        <v>93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44910.92601747685</v>
      </c>
      <c r="D54" s="36">
        <v>307</v>
      </c>
      <c r="E54" s="10">
        <v>23</v>
      </c>
      <c r="F54" s="10">
        <v>70</v>
      </c>
      <c r="G54" s="36">
        <v>93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44910.926022164349</v>
      </c>
      <c r="D55" s="36">
        <v>309</v>
      </c>
      <c r="E55" s="10">
        <v>23</v>
      </c>
      <c r="F55" s="10">
        <v>70</v>
      </c>
      <c r="G55" s="36">
        <v>93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>
        <v>44910.926026770831</v>
      </c>
      <c r="D56" s="36">
        <v>306</v>
      </c>
      <c r="E56" s="10">
        <v>22</v>
      </c>
      <c r="F56" s="10">
        <v>71</v>
      </c>
      <c r="G56" s="36">
        <v>93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>
        <v>44910.926031365743</v>
      </c>
      <c r="D57" s="36">
        <v>305</v>
      </c>
      <c r="E57" s="10">
        <v>23</v>
      </c>
      <c r="F57" s="10">
        <v>71</v>
      </c>
      <c r="G57" s="36">
        <v>94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>
        <v>44910.926035949073</v>
      </c>
      <c r="D58" s="36">
        <v>300</v>
      </c>
      <c r="E58" s="10">
        <v>23</v>
      </c>
      <c r="F58" s="10">
        <v>71</v>
      </c>
      <c r="G58" s="36">
        <v>94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>
        <v>44910.926040706021</v>
      </c>
      <c r="D59" s="36">
        <v>315</v>
      </c>
      <c r="E59" s="10">
        <v>23</v>
      </c>
      <c r="F59" s="10">
        <v>71</v>
      </c>
      <c r="G59" s="36">
        <v>94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>
        <v>44910.926045300926</v>
      </c>
      <c r="D60" s="36">
        <v>305</v>
      </c>
      <c r="E60" s="10">
        <v>24</v>
      </c>
      <c r="F60" s="10">
        <v>70</v>
      </c>
      <c r="G60" s="36">
        <v>94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>
        <v>44910.926049942129</v>
      </c>
      <c r="D61" s="36">
        <v>305</v>
      </c>
      <c r="E61" s="10">
        <v>24</v>
      </c>
      <c r="F61" s="10">
        <v>73</v>
      </c>
      <c r="G61" s="36">
        <v>97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>
        <v>44910.926054594907</v>
      </c>
      <c r="D62" s="36">
        <v>306</v>
      </c>
      <c r="E62" s="10">
        <v>23</v>
      </c>
      <c r="F62" s="10">
        <v>71</v>
      </c>
      <c r="G62" s="36">
        <v>94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>
        <v>44910.926059282407</v>
      </c>
      <c r="D63" s="36">
        <v>308</v>
      </c>
      <c r="E63" s="10">
        <v>25</v>
      </c>
      <c r="F63" s="10">
        <v>70</v>
      </c>
      <c r="G63" s="36">
        <v>95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>
        <v>44910.926063888888</v>
      </c>
      <c r="D64" s="36">
        <v>304</v>
      </c>
      <c r="E64" s="10">
        <v>24</v>
      </c>
      <c r="F64" s="10">
        <v>72</v>
      </c>
      <c r="G64" s="36">
        <v>96</v>
      </c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>
        <v>44910.926068530091</v>
      </c>
      <c r="D65" s="36">
        <v>303</v>
      </c>
      <c r="E65" s="10">
        <v>23</v>
      </c>
      <c r="F65" s="10">
        <v>74</v>
      </c>
      <c r="G65" s="36">
        <v>97</v>
      </c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>
        <v>44910.926073125003</v>
      </c>
      <c r="D66" s="36">
        <v>300</v>
      </c>
      <c r="E66" s="10">
        <v>26</v>
      </c>
      <c r="F66" s="10">
        <v>71</v>
      </c>
      <c r="G66" s="36">
        <v>97</v>
      </c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9">
        <v>44910.926077812503</v>
      </c>
      <c r="D67" s="36">
        <v>307</v>
      </c>
      <c r="E67" s="10">
        <v>24</v>
      </c>
      <c r="F67" s="10">
        <v>73</v>
      </c>
      <c r="G67" s="36">
        <v>97</v>
      </c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>
        <v>44910.926082696758</v>
      </c>
      <c r="D68" s="36">
        <v>325</v>
      </c>
      <c r="E68" s="10">
        <v>24</v>
      </c>
      <c r="F68" s="10">
        <v>72</v>
      </c>
      <c r="G68" s="36">
        <v>96</v>
      </c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9">
        <v>44910.926087060187</v>
      </c>
      <c r="D69" s="36">
        <v>281</v>
      </c>
      <c r="E69" s="10">
        <v>26</v>
      </c>
      <c r="F69" s="10">
        <v>73</v>
      </c>
      <c r="G69" s="36">
        <v>99</v>
      </c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>
        <v>44910.926091944442</v>
      </c>
      <c r="D70" s="36">
        <v>322</v>
      </c>
      <c r="E70" s="10">
        <v>26</v>
      </c>
      <c r="F70" s="10">
        <v>72</v>
      </c>
      <c r="G70" s="36">
        <v>98</v>
      </c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9">
        <v>44910.926096504627</v>
      </c>
      <c r="D71" s="36">
        <v>291</v>
      </c>
      <c r="E71" s="10">
        <v>26</v>
      </c>
      <c r="F71" s="10">
        <v>74</v>
      </c>
      <c r="G71" s="36">
        <v>100</v>
      </c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9">
        <v>44910.926101238423</v>
      </c>
      <c r="D72" s="36">
        <v>311</v>
      </c>
      <c r="E72" s="10">
        <v>27</v>
      </c>
      <c r="F72" s="10">
        <v>72</v>
      </c>
      <c r="G72" s="36">
        <v>99</v>
      </c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>
        <v>44910.926105879633</v>
      </c>
      <c r="D73" s="36">
        <v>300</v>
      </c>
      <c r="E73" s="10">
        <v>27</v>
      </c>
      <c r="F73" s="10">
        <v>73</v>
      </c>
      <c r="G73" s="36">
        <v>100</v>
      </c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>
        <v>44910.926110763889</v>
      </c>
      <c r="D74" s="36">
        <v>322</v>
      </c>
      <c r="E74" s="10">
        <v>27</v>
      </c>
      <c r="F74" s="10">
        <v>74</v>
      </c>
      <c r="G74" s="36">
        <v>101</v>
      </c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>
        <v>44910.926115127317</v>
      </c>
      <c r="D75" s="36">
        <v>275</v>
      </c>
      <c r="E75" s="10">
        <v>28</v>
      </c>
      <c r="F75" s="10">
        <v>73</v>
      </c>
      <c r="G75" s="36">
        <v>101</v>
      </c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>
        <v>44910.926119826392</v>
      </c>
      <c r="D76" s="36">
        <v>305</v>
      </c>
      <c r="E76" s="10">
        <v>28</v>
      </c>
      <c r="F76" s="10">
        <v>72</v>
      </c>
      <c r="G76" s="36">
        <v>100</v>
      </c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>
        <v>44910.926124710648</v>
      </c>
      <c r="D77" s="36">
        <v>319</v>
      </c>
      <c r="E77" s="10">
        <v>29</v>
      </c>
      <c r="F77" s="10">
        <v>73</v>
      </c>
      <c r="G77" s="36">
        <v>102</v>
      </c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>
        <v>44910.926129305553</v>
      </c>
      <c r="D78" s="36">
        <v>299</v>
      </c>
      <c r="E78" s="10">
        <v>30</v>
      </c>
      <c r="F78" s="10">
        <v>71</v>
      </c>
      <c r="G78" s="36">
        <v>101</v>
      </c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>
        <v>44910.926133946756</v>
      </c>
      <c r="D79" s="36">
        <v>296</v>
      </c>
      <c r="E79" s="10">
        <v>30</v>
      </c>
      <c r="F79" s="10">
        <v>73</v>
      </c>
      <c r="G79" s="36">
        <v>103</v>
      </c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>
        <v>44910.926138587965</v>
      </c>
      <c r="D80" s="36">
        <v>299</v>
      </c>
      <c r="E80" s="10">
        <v>29</v>
      </c>
      <c r="F80" s="10">
        <v>73</v>
      </c>
      <c r="G80" s="36">
        <v>102</v>
      </c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>
        <v>44910.926143182871</v>
      </c>
      <c r="D81" s="36">
        <v>298</v>
      </c>
      <c r="E81" s="10">
        <v>31</v>
      </c>
      <c r="F81" s="10">
        <v>71</v>
      </c>
      <c r="G81" s="36">
        <v>102</v>
      </c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>
        <v>44910.926147881946</v>
      </c>
      <c r="D82" s="36">
        <v>298</v>
      </c>
      <c r="E82" s="10">
        <v>33</v>
      </c>
      <c r="F82" s="10">
        <v>71</v>
      </c>
      <c r="G82" s="36">
        <v>104</v>
      </c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>
        <v>44910.926152534725</v>
      </c>
      <c r="D83" s="36">
        <v>298</v>
      </c>
      <c r="E83" s="10">
        <v>33</v>
      </c>
      <c r="F83" s="10">
        <v>72</v>
      </c>
      <c r="G83" s="36">
        <v>105</v>
      </c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>
        <v>44910.926157175927</v>
      </c>
      <c r="D84" s="36">
        <v>291</v>
      </c>
      <c r="E84" s="10">
        <v>34</v>
      </c>
      <c r="F84" s="10">
        <v>75</v>
      </c>
      <c r="G84" s="36">
        <v>109</v>
      </c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>
        <v>44910.926162013886</v>
      </c>
      <c r="D85" s="36">
        <v>313</v>
      </c>
      <c r="E85" s="10">
        <v>34</v>
      </c>
      <c r="F85" s="10">
        <v>73</v>
      </c>
      <c r="G85" s="36">
        <v>107</v>
      </c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9">
        <v>44910.926166666664</v>
      </c>
      <c r="D86" s="36">
        <v>293</v>
      </c>
      <c r="E86" s="10">
        <v>35</v>
      </c>
      <c r="F86" s="10">
        <v>73</v>
      </c>
      <c r="G86" s="36">
        <v>108</v>
      </c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6.5" x14ac:dyDescent="0.25">
      <c r="A87" s="1"/>
      <c r="B87" s="8">
        <f t="shared" si="1"/>
        <v>84</v>
      </c>
      <c r="C87" s="9">
        <v>44910.926171354164</v>
      </c>
      <c r="D87" s="36">
        <v>292</v>
      </c>
      <c r="E87" s="10">
        <v>35</v>
      </c>
      <c r="F87" s="10">
        <v>75</v>
      </c>
      <c r="G87" s="36">
        <v>110</v>
      </c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6.5" x14ac:dyDescent="0.25">
      <c r="A88" s="1"/>
      <c r="B88" s="8">
        <f t="shared" si="1"/>
        <v>85</v>
      </c>
      <c r="C88" s="9">
        <v>44910.92617604167</v>
      </c>
      <c r="D88" s="36">
        <v>296</v>
      </c>
      <c r="E88" s="10">
        <v>38</v>
      </c>
      <c r="F88" s="10">
        <v>73</v>
      </c>
      <c r="G88" s="36">
        <v>111</v>
      </c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6.5" x14ac:dyDescent="0.25">
      <c r="A89" s="1"/>
      <c r="B89" s="8">
        <f t="shared" si="1"/>
        <v>86</v>
      </c>
      <c r="C89" s="9">
        <v>44910.926180601855</v>
      </c>
      <c r="D89" s="36">
        <v>281</v>
      </c>
      <c r="E89" s="10">
        <v>38</v>
      </c>
      <c r="F89" s="10">
        <v>74</v>
      </c>
      <c r="G89" s="36">
        <v>112</v>
      </c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6.5" x14ac:dyDescent="0.25">
      <c r="A90" s="1"/>
      <c r="B90" s="8">
        <f t="shared" si="1"/>
        <v>87</v>
      </c>
      <c r="C90" s="9">
        <v>44910.926185335651</v>
      </c>
      <c r="D90" s="36">
        <v>296</v>
      </c>
      <c r="E90" s="10">
        <v>39</v>
      </c>
      <c r="F90" s="10">
        <v>73</v>
      </c>
      <c r="G90" s="36">
        <v>112</v>
      </c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6.5" x14ac:dyDescent="0.25">
      <c r="A91" s="1"/>
      <c r="B91" s="8">
        <f t="shared" si="1"/>
        <v>88</v>
      </c>
      <c r="C91" s="9">
        <v>44910.92618988426</v>
      </c>
      <c r="D91" s="36">
        <v>284</v>
      </c>
      <c r="E91" s="10">
        <v>41</v>
      </c>
      <c r="F91" s="10">
        <v>71</v>
      </c>
      <c r="G91" s="36">
        <v>112</v>
      </c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6.5" x14ac:dyDescent="0.25">
      <c r="A92" s="1"/>
      <c r="B92" s="8">
        <f t="shared" si="1"/>
        <v>89</v>
      </c>
      <c r="C92" s="9">
        <v>44910.926194629632</v>
      </c>
      <c r="D92" s="36">
        <v>287</v>
      </c>
      <c r="E92" s="10" t="s">
        <v>29</v>
      </c>
      <c r="F92" s="10" t="s">
        <v>29</v>
      </c>
      <c r="G92" s="36">
        <v>127</v>
      </c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6.5" x14ac:dyDescent="0.25">
      <c r="A93" s="1"/>
      <c r="B93" s="8">
        <f t="shared" si="1"/>
        <v>90</v>
      </c>
      <c r="C93" s="9">
        <v>44910.926199374997</v>
      </c>
      <c r="D93" s="36">
        <v>279</v>
      </c>
      <c r="E93" s="10" t="s">
        <v>29</v>
      </c>
      <c r="F93" s="10" t="s">
        <v>29</v>
      </c>
      <c r="G93" s="36">
        <v>127</v>
      </c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6.5" x14ac:dyDescent="0.25">
      <c r="A94" s="1"/>
      <c r="B94" s="8">
        <f t="shared" si="1"/>
        <v>91</v>
      </c>
      <c r="C94" s="33">
        <v>44910.92620396991</v>
      </c>
      <c r="D94" s="34">
        <v>268</v>
      </c>
      <c r="E94" s="35" t="s">
        <v>29</v>
      </c>
      <c r="F94" s="35" t="s">
        <v>29</v>
      </c>
      <c r="G94" s="34">
        <v>129</v>
      </c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ime_x000d__x000a__x000d__x000a_TBL_HST[TIME]" sqref="C4:C94" xr:uid="{CE547C58-1E41-4D52-B504-0CE86F7065F0}"/>
    <dataValidation allowBlank="1" showInputMessage="1" showErrorMessage="1" prompt="TBL_HST[CH1]" sqref="D4:D94" xr:uid="{009EAA66-2D22-4087-B57D-1E36D28F6F09}"/>
    <dataValidation allowBlank="1" showInputMessage="1" showErrorMessage="1" prompt="TBL_HST[CH4]" sqref="G4:G94" xr:uid="{5758E896-1938-4A8B-AC74-56508A0E2F80}"/>
    <dataValidation allowBlank="1" showInputMessage="1" showErrorMessage="1" prompt="TBL_HST[CH2]" sqref="E4:E94" xr:uid="{18C459AF-E074-4AA1-9B03-A33FDD424D71}"/>
    <dataValidation allowBlank="1" showInputMessage="1" showErrorMessage="1" prompt="TBL_HST[CH3]" sqref="F4:F94" xr:uid="{41221567-593C-4F12-BB05-6A82969EA730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A7305-CCE8-4C88-9400-0AB378A4B017}">
  <dimension ref="C8:G77"/>
  <sheetViews>
    <sheetView tabSelected="1" topLeftCell="A2" zoomScaleNormal="100" workbookViewId="0">
      <selection activeCell="AI11" sqref="AI11"/>
    </sheetView>
  </sheetViews>
  <sheetFormatPr defaultRowHeight="15" x14ac:dyDescent="0.25"/>
  <sheetData>
    <row r="8" spans="3:7" ht="16.5" x14ac:dyDescent="0.25">
      <c r="C8" s="53"/>
      <c r="D8" s="53"/>
      <c r="E8" s="53"/>
      <c r="F8" s="52"/>
      <c r="G8" s="52"/>
    </row>
    <row r="9" spans="3:7" ht="16.5" x14ac:dyDescent="0.25">
      <c r="C9" s="53"/>
      <c r="D9" s="53"/>
      <c r="E9" s="53"/>
      <c r="F9" s="52"/>
      <c r="G9" s="52"/>
    </row>
    <row r="10" spans="3:7" ht="16.5" x14ac:dyDescent="0.25">
      <c r="C10" s="53"/>
      <c r="D10" s="53"/>
      <c r="E10" s="53"/>
      <c r="F10" s="52"/>
      <c r="G10" s="52"/>
    </row>
    <row r="11" spans="3:7" ht="16.5" x14ac:dyDescent="0.25">
      <c r="C11" s="53"/>
      <c r="D11" s="53"/>
      <c r="E11" s="53"/>
      <c r="F11" s="52"/>
      <c r="G11" s="52"/>
    </row>
    <row r="12" spans="3:7" ht="16.5" x14ac:dyDescent="0.25">
      <c r="C12" s="53"/>
      <c r="D12" s="53"/>
      <c r="E12" s="53"/>
      <c r="F12" s="52"/>
      <c r="G12" s="52"/>
    </row>
    <row r="13" spans="3:7" ht="16.5" x14ac:dyDescent="0.25">
      <c r="C13" s="53"/>
      <c r="D13" s="53"/>
      <c r="E13" s="53"/>
      <c r="F13" s="52"/>
      <c r="G13" s="52"/>
    </row>
    <row r="14" spans="3:7" ht="16.5" x14ac:dyDescent="0.25">
      <c r="C14" s="53"/>
      <c r="D14" s="53"/>
      <c r="E14" s="53"/>
      <c r="F14" s="52"/>
      <c r="G14" s="52"/>
    </row>
    <row r="15" spans="3:7" ht="16.5" x14ac:dyDescent="0.25">
      <c r="C15" s="53"/>
      <c r="D15" s="53"/>
      <c r="E15" s="53"/>
      <c r="F15" s="52"/>
      <c r="G15" s="52"/>
    </row>
    <row r="16" spans="3:7" ht="16.5" x14ac:dyDescent="0.25">
      <c r="C16" s="53"/>
      <c r="D16" s="53"/>
      <c r="E16" s="53"/>
      <c r="F16" s="52"/>
      <c r="G16" s="52"/>
    </row>
    <row r="17" spans="3:7" ht="16.5" x14ac:dyDescent="0.25">
      <c r="C17" s="53"/>
      <c r="D17" s="53"/>
      <c r="E17" s="53"/>
      <c r="F17" s="52"/>
      <c r="G17" s="52"/>
    </row>
    <row r="18" spans="3:7" ht="16.5" x14ac:dyDescent="0.25">
      <c r="C18" s="53"/>
      <c r="D18" s="53"/>
      <c r="E18" s="53"/>
      <c r="F18" s="52"/>
      <c r="G18" s="52"/>
    </row>
    <row r="19" spans="3:7" ht="16.5" x14ac:dyDescent="0.25">
      <c r="C19" s="53"/>
      <c r="D19" s="53"/>
      <c r="E19" s="53"/>
      <c r="F19" s="52"/>
      <c r="G19" s="52"/>
    </row>
    <row r="20" spans="3:7" ht="16.5" x14ac:dyDescent="0.25">
      <c r="C20" s="53"/>
      <c r="D20" s="53"/>
      <c r="E20" s="53"/>
      <c r="F20" s="52"/>
      <c r="G20" s="52"/>
    </row>
    <row r="21" spans="3:7" ht="16.5" x14ac:dyDescent="0.25">
      <c r="C21" s="53"/>
      <c r="D21" s="53"/>
      <c r="E21" s="53"/>
      <c r="F21" s="52"/>
      <c r="G21" s="52"/>
    </row>
    <row r="22" spans="3:7" ht="16.5" x14ac:dyDescent="0.25">
      <c r="C22" s="53"/>
      <c r="D22" s="53"/>
      <c r="E22" s="53"/>
      <c r="F22" s="52"/>
      <c r="G22" s="52"/>
    </row>
    <row r="23" spans="3:7" ht="16.5" x14ac:dyDescent="0.25">
      <c r="C23" s="53"/>
      <c r="D23" s="53"/>
      <c r="E23" s="53"/>
      <c r="F23" s="52"/>
      <c r="G23" s="52"/>
    </row>
    <row r="24" spans="3:7" ht="16.5" x14ac:dyDescent="0.25">
      <c r="C24" s="53"/>
      <c r="D24" s="53"/>
      <c r="E24" s="53"/>
      <c r="F24" s="52"/>
      <c r="G24" s="52"/>
    </row>
    <row r="25" spans="3:7" ht="16.5" x14ac:dyDescent="0.25">
      <c r="C25" s="53"/>
      <c r="D25" s="53"/>
      <c r="E25" s="53"/>
      <c r="F25" s="52"/>
      <c r="G25" s="52"/>
    </row>
    <row r="26" spans="3:7" ht="16.5" x14ac:dyDescent="0.25">
      <c r="C26" s="53"/>
      <c r="D26" s="53"/>
      <c r="E26" s="53"/>
      <c r="F26" s="52"/>
      <c r="G26" s="52"/>
    </row>
    <row r="27" spans="3:7" ht="16.5" x14ac:dyDescent="0.25">
      <c r="C27" s="53"/>
      <c r="D27" s="53"/>
      <c r="E27" s="53"/>
      <c r="F27" s="52"/>
      <c r="G27" s="52"/>
    </row>
    <row r="28" spans="3:7" ht="16.5" x14ac:dyDescent="0.25">
      <c r="C28" s="53"/>
      <c r="D28" s="53"/>
      <c r="E28" s="53"/>
      <c r="F28" s="52"/>
      <c r="G28" s="52"/>
    </row>
    <row r="29" spans="3:7" ht="16.5" x14ac:dyDescent="0.25">
      <c r="C29" s="53"/>
      <c r="D29" s="53"/>
      <c r="E29" s="53"/>
      <c r="F29" s="52"/>
      <c r="G29" s="52"/>
    </row>
    <row r="30" spans="3:7" ht="16.5" x14ac:dyDescent="0.25">
      <c r="C30" s="53"/>
      <c r="D30" s="53"/>
      <c r="E30" s="53"/>
      <c r="F30" s="52"/>
      <c r="G30" s="52"/>
    </row>
    <row r="31" spans="3:7" ht="16.5" x14ac:dyDescent="0.25">
      <c r="C31" s="53"/>
      <c r="D31" s="53"/>
      <c r="E31" s="53"/>
      <c r="F31" s="52"/>
      <c r="G31" s="52"/>
    </row>
    <row r="32" spans="3:7" ht="16.5" x14ac:dyDescent="0.25">
      <c r="C32" s="53"/>
      <c r="D32" s="53"/>
      <c r="E32" s="53"/>
      <c r="F32" s="52"/>
      <c r="G32" s="52"/>
    </row>
    <row r="33" spans="3:7" ht="16.5" x14ac:dyDescent="0.25">
      <c r="C33" s="53"/>
      <c r="D33" s="53"/>
      <c r="E33" s="53"/>
      <c r="F33" s="52"/>
      <c r="G33" s="52"/>
    </row>
    <row r="34" spans="3:7" ht="16.5" x14ac:dyDescent="0.25">
      <c r="C34" s="53"/>
      <c r="D34" s="53"/>
      <c r="E34" s="53"/>
      <c r="F34" s="52"/>
      <c r="G34" s="52"/>
    </row>
    <row r="35" spans="3:7" ht="16.5" x14ac:dyDescent="0.25">
      <c r="C35" s="53"/>
      <c r="D35" s="53"/>
      <c r="E35" s="53"/>
      <c r="F35" s="52"/>
      <c r="G35" s="52"/>
    </row>
    <row r="36" spans="3:7" ht="16.5" x14ac:dyDescent="0.25">
      <c r="C36" s="53"/>
      <c r="D36" s="53"/>
      <c r="E36" s="53"/>
      <c r="F36" s="52"/>
      <c r="G36" s="52"/>
    </row>
    <row r="37" spans="3:7" ht="16.5" x14ac:dyDescent="0.25">
      <c r="C37" s="53"/>
      <c r="D37" s="53"/>
      <c r="E37" s="53"/>
      <c r="F37" s="52"/>
      <c r="G37" s="52"/>
    </row>
    <row r="38" spans="3:7" ht="16.5" x14ac:dyDescent="0.25">
      <c r="C38" s="53"/>
      <c r="D38" s="53"/>
      <c r="E38" s="53"/>
      <c r="F38" s="52"/>
      <c r="G38" s="52"/>
    </row>
    <row r="39" spans="3:7" ht="16.5" x14ac:dyDescent="0.25">
      <c r="C39" s="53"/>
      <c r="D39" s="53"/>
      <c r="E39" s="53"/>
      <c r="F39" s="52"/>
      <c r="G39" s="52"/>
    </row>
    <row r="40" spans="3:7" ht="16.5" x14ac:dyDescent="0.25">
      <c r="C40" s="53"/>
      <c r="D40" s="53"/>
      <c r="E40" s="53"/>
      <c r="F40" s="52"/>
      <c r="G40" s="52"/>
    </row>
    <row r="41" spans="3:7" ht="16.5" x14ac:dyDescent="0.25">
      <c r="C41" s="53"/>
      <c r="D41" s="53"/>
      <c r="E41" s="53"/>
      <c r="F41" s="52"/>
      <c r="G41" s="52"/>
    </row>
    <row r="42" spans="3:7" ht="16.5" x14ac:dyDescent="0.25">
      <c r="C42" s="53"/>
      <c r="D42" s="53"/>
      <c r="E42" s="53"/>
      <c r="F42" s="52"/>
      <c r="G42" s="52"/>
    </row>
    <row r="43" spans="3:7" ht="16.5" x14ac:dyDescent="0.25">
      <c r="C43" s="53"/>
      <c r="D43" s="53"/>
      <c r="E43" s="53"/>
      <c r="F43" s="52"/>
      <c r="G43" s="52"/>
    </row>
    <row r="44" spans="3:7" ht="16.5" x14ac:dyDescent="0.25">
      <c r="C44" s="53"/>
      <c r="D44" s="53"/>
      <c r="E44" s="53"/>
      <c r="F44" s="52"/>
      <c r="G44" s="52"/>
    </row>
    <row r="45" spans="3:7" ht="16.5" x14ac:dyDescent="0.25">
      <c r="C45" s="53"/>
      <c r="D45" s="53"/>
      <c r="E45" s="53"/>
      <c r="F45" s="52"/>
      <c r="G45" s="52"/>
    </row>
    <row r="46" spans="3:7" ht="16.5" x14ac:dyDescent="0.25">
      <c r="C46" s="53"/>
      <c r="D46" s="53"/>
      <c r="E46" s="53"/>
      <c r="F46" s="52"/>
      <c r="G46" s="52"/>
    </row>
    <row r="47" spans="3:7" ht="16.5" x14ac:dyDescent="0.25">
      <c r="C47" s="53"/>
      <c r="D47" s="53"/>
      <c r="E47" s="53"/>
      <c r="F47" s="52"/>
      <c r="G47" s="52"/>
    </row>
    <row r="48" spans="3:7" ht="16.5" x14ac:dyDescent="0.25">
      <c r="C48" s="53"/>
      <c r="D48" s="53"/>
      <c r="E48" s="53"/>
      <c r="F48" s="52"/>
      <c r="G48" s="52"/>
    </row>
    <row r="49" spans="3:7" ht="16.5" x14ac:dyDescent="0.25">
      <c r="C49" s="53"/>
      <c r="D49" s="53"/>
      <c r="E49" s="53"/>
      <c r="F49" s="52"/>
      <c r="G49" s="52"/>
    </row>
    <row r="50" spans="3:7" ht="16.5" x14ac:dyDescent="0.25">
      <c r="C50" s="53"/>
      <c r="D50" s="53"/>
      <c r="E50" s="53"/>
      <c r="F50" s="52"/>
      <c r="G50" s="52"/>
    </row>
    <row r="51" spans="3:7" ht="16.5" x14ac:dyDescent="0.25">
      <c r="C51" s="53"/>
      <c r="D51" s="53"/>
      <c r="E51" s="53"/>
      <c r="F51" s="52"/>
      <c r="G51" s="52"/>
    </row>
    <row r="52" spans="3:7" ht="16.5" x14ac:dyDescent="0.25">
      <c r="C52" s="53"/>
      <c r="D52" s="53"/>
      <c r="E52" s="53"/>
      <c r="F52" s="52"/>
      <c r="G52" s="52"/>
    </row>
    <row r="53" spans="3:7" ht="16.5" x14ac:dyDescent="0.25">
      <c r="C53" s="53"/>
      <c r="D53" s="53"/>
      <c r="E53" s="53"/>
      <c r="F53" s="52"/>
      <c r="G53" s="52"/>
    </row>
    <row r="54" spans="3:7" ht="16.5" x14ac:dyDescent="0.25">
      <c r="C54" s="53"/>
      <c r="D54" s="53"/>
      <c r="E54" s="53"/>
      <c r="F54" s="52"/>
      <c r="G54" s="52"/>
    </row>
    <row r="55" spans="3:7" ht="16.5" x14ac:dyDescent="0.25">
      <c r="C55" s="53"/>
      <c r="D55" s="53"/>
      <c r="E55" s="53"/>
      <c r="F55" s="52"/>
      <c r="G55" s="52"/>
    </row>
    <row r="56" spans="3:7" ht="16.5" x14ac:dyDescent="0.25">
      <c r="C56" s="53"/>
      <c r="D56" s="53"/>
      <c r="E56" s="53"/>
      <c r="F56" s="52"/>
      <c r="G56" s="52"/>
    </row>
    <row r="57" spans="3:7" ht="16.5" x14ac:dyDescent="0.25">
      <c r="C57" s="53"/>
      <c r="D57" s="53"/>
      <c r="E57" s="53"/>
      <c r="F57" s="52"/>
      <c r="G57" s="52"/>
    </row>
    <row r="58" spans="3:7" ht="16.5" x14ac:dyDescent="0.25">
      <c r="C58" s="53"/>
      <c r="D58" s="53"/>
      <c r="E58" s="53"/>
      <c r="F58" s="52"/>
      <c r="G58" s="52"/>
    </row>
    <row r="59" spans="3:7" ht="16.5" x14ac:dyDescent="0.25">
      <c r="C59" s="53"/>
      <c r="D59" s="53"/>
      <c r="E59" s="53"/>
      <c r="F59" s="52"/>
      <c r="G59" s="52"/>
    </row>
    <row r="60" spans="3:7" ht="16.5" x14ac:dyDescent="0.25">
      <c r="C60" s="53"/>
      <c r="D60" s="53"/>
      <c r="E60" s="53"/>
      <c r="F60" s="52"/>
      <c r="G60" s="52"/>
    </row>
    <row r="61" spans="3:7" ht="16.5" x14ac:dyDescent="0.25">
      <c r="C61" s="53"/>
      <c r="D61" s="53"/>
      <c r="E61" s="53"/>
      <c r="F61" s="52"/>
      <c r="G61" s="52"/>
    </row>
    <row r="62" spans="3:7" ht="16.5" x14ac:dyDescent="0.25">
      <c r="C62" s="53"/>
      <c r="D62" s="53"/>
      <c r="E62" s="53"/>
      <c r="F62" s="52"/>
      <c r="G62" s="52"/>
    </row>
    <row r="63" spans="3:7" ht="16.5" x14ac:dyDescent="0.25">
      <c r="C63" s="53"/>
      <c r="D63" s="53"/>
      <c r="E63" s="53"/>
      <c r="F63" s="52"/>
      <c r="G63" s="52"/>
    </row>
    <row r="64" spans="3:7" ht="16.5" x14ac:dyDescent="0.25">
      <c r="C64" s="53"/>
      <c r="D64" s="53"/>
      <c r="E64" s="53"/>
      <c r="F64" s="52"/>
      <c r="G64" s="52"/>
    </row>
    <row r="65" spans="3:7" ht="16.5" x14ac:dyDescent="0.25">
      <c r="C65" s="53"/>
      <c r="D65" s="53"/>
      <c r="E65" s="53"/>
      <c r="F65" s="52"/>
      <c r="G65" s="52"/>
    </row>
    <row r="66" spans="3:7" ht="16.5" x14ac:dyDescent="0.25">
      <c r="C66" s="53"/>
      <c r="D66" s="53"/>
      <c r="E66" s="53"/>
      <c r="F66" s="52"/>
      <c r="G66" s="52"/>
    </row>
    <row r="67" spans="3:7" ht="16.5" x14ac:dyDescent="0.25">
      <c r="C67" s="53"/>
      <c r="D67" s="53"/>
      <c r="E67" s="53"/>
      <c r="F67" s="52"/>
      <c r="G67" s="52"/>
    </row>
    <row r="68" spans="3:7" ht="16.5" x14ac:dyDescent="0.25">
      <c r="C68" s="53"/>
      <c r="D68" s="53"/>
      <c r="E68" s="53"/>
      <c r="F68" s="52"/>
      <c r="G68" s="52"/>
    </row>
    <row r="69" spans="3:7" ht="16.5" x14ac:dyDescent="0.25">
      <c r="C69" s="53"/>
      <c r="D69" s="53"/>
      <c r="E69" s="53"/>
      <c r="F69" s="52"/>
      <c r="G69" s="52"/>
    </row>
    <row r="70" spans="3:7" ht="16.5" x14ac:dyDescent="0.25">
      <c r="C70" s="53"/>
      <c r="D70" s="53"/>
      <c r="E70" s="53"/>
      <c r="F70" s="52"/>
      <c r="G70" s="52"/>
    </row>
    <row r="71" spans="3:7" x14ac:dyDescent="0.25">
      <c r="C71" s="52"/>
      <c r="D71" s="52"/>
      <c r="E71" s="52"/>
      <c r="F71" s="52"/>
      <c r="G71" s="52"/>
    </row>
    <row r="72" spans="3:7" x14ac:dyDescent="0.25">
      <c r="C72" s="52"/>
      <c r="D72" s="52"/>
      <c r="E72" s="52"/>
      <c r="F72" s="52"/>
      <c r="G72" s="52"/>
    </row>
    <row r="73" spans="3:7" ht="16.5" x14ac:dyDescent="0.25">
      <c r="C73" s="54"/>
      <c r="D73" s="54"/>
      <c r="E73" s="52"/>
      <c r="F73" s="52"/>
      <c r="G73" s="52"/>
    </row>
    <row r="74" spans="3:7" ht="16.5" x14ac:dyDescent="0.25">
      <c r="C74" s="52"/>
      <c r="D74" s="54"/>
      <c r="E74" s="52"/>
      <c r="F74" s="52"/>
      <c r="G74" s="52"/>
    </row>
    <row r="75" spans="3:7" ht="16.5" x14ac:dyDescent="0.25">
      <c r="C75" s="52"/>
      <c r="D75" s="54"/>
      <c r="E75" s="52"/>
      <c r="F75" s="52"/>
      <c r="G75" s="52"/>
    </row>
    <row r="76" spans="3:7" x14ac:dyDescent="0.25">
      <c r="C76" s="52"/>
      <c r="D76" s="52"/>
      <c r="E76" s="52"/>
      <c r="F76" s="52"/>
      <c r="G76" s="52"/>
    </row>
    <row r="77" spans="3:7" x14ac:dyDescent="0.25">
      <c r="C77" s="52"/>
      <c r="D77" s="52"/>
      <c r="E77" s="52"/>
      <c r="F77" s="52"/>
      <c r="G77" s="52"/>
    </row>
  </sheetData>
  <dataValidations count="1">
    <dataValidation allowBlank="1" showInputMessage="1" showErrorMessage="1" prompt="TBL_HST[CH2]" sqref="C73 D73:D75 C8:E70" xr:uid="{E5407B1F-3DEC-44F4-8DC2-B24940220420}"/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Data In</vt:lpstr>
      <vt:lpstr>Data Out</vt:lpstr>
      <vt:lpstr>Settings</vt:lpstr>
      <vt:lpstr>TEMPLATE</vt:lpstr>
      <vt:lpstr>12gCO2_A1</vt:lpstr>
      <vt:lpstr>12gCO2_A2</vt:lpstr>
      <vt:lpstr>12gCO2_A3</vt:lpstr>
      <vt:lpstr>18gCO2_A1</vt:lpstr>
      <vt:lpstr>18gCO2_A2</vt:lpstr>
      <vt:lpstr>18gCO2_A3</vt:lpstr>
      <vt:lpstr>Sheet2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Stoegbauer</dc:creator>
  <cp:lastModifiedBy>Michael Stoegbauer</cp:lastModifiedBy>
  <dcterms:created xsi:type="dcterms:W3CDTF">2022-12-15T23:45:03Z</dcterms:created>
  <dcterms:modified xsi:type="dcterms:W3CDTF">2022-12-21T00:44:06Z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abb86cb9-f230-42d0-95b6-cb011fe0a2a0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