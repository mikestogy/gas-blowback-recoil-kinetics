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theme/themeOverride6.xml" ContentType="application/vnd.openxmlformats-officedocument.themeOverrid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theme/themeOverride7.xml" ContentType="application/vnd.openxmlformats-officedocument.themeOverrid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theme/themeOverride8.xml" ContentType="application/vnd.openxmlformats-officedocument.themeOverrid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theme/themeOverride9.xml" ContentType="application/vnd.openxmlformats-officedocument.themeOverrid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theme/themeOverride10.xml" ContentType="application/vnd.openxmlformats-officedocument.themeOverrid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theme/themeOverride11.xml" ContentType="application/vnd.openxmlformats-officedocument.themeOverrid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kes\Documents\Krinkov Dyno\Propane vs CO2\"/>
    </mc:Choice>
  </mc:AlternateContent>
  <xr:revisionPtr revIDLastSave="0" documentId="13_ncr:1_{B17EB9C6-848D-4372-A2E9-2A60ACDF7D88}" xr6:coauthVersionLast="47" xr6:coauthVersionMax="47" xr10:uidLastSave="{00000000-0000-0000-0000-000000000000}"/>
  <bookViews>
    <workbookView xWindow="-120" yWindow="-120" windowWidth="38640" windowHeight="21240" tabRatio="794" firstSheet="3" activeTab="15" xr2:uid="{958EF6D3-A2A3-4236-95FB-3FCACA31B559}"/>
  </bookViews>
  <sheets>
    <sheet name="12g_CO2_Cold_1" sheetId="1" r:id="rId1"/>
    <sheet name="12g_CO2_Cold_2" sheetId="2" r:id="rId2"/>
    <sheet name="12g_CO2_Cold_3" sheetId="4" r:id="rId3"/>
    <sheet name="12g_CO2_AVG's" sheetId="6" r:id="rId4"/>
    <sheet name="18g_CO2_Cold_1" sheetId="8" r:id="rId5"/>
    <sheet name="18g_CO2_Cold_2" sheetId="10" r:id="rId6"/>
    <sheet name="18g_CO2_Cold_3" sheetId="11" r:id="rId7"/>
    <sheet name="18g_CO2_AVG's" sheetId="12" r:id="rId8"/>
    <sheet name="12g_Propane_Cold_1" sheetId="13" r:id="rId9"/>
    <sheet name="12g_Propane_Cold_2" sheetId="14" r:id="rId10"/>
    <sheet name="12g_Propane_Cold_3" sheetId="15" r:id="rId11"/>
    <sheet name="12g_Propane_AVG's" sheetId="17" r:id="rId12"/>
    <sheet name="18g_Propane_Cold_1" sheetId="18" r:id="rId13"/>
    <sheet name="18g_Propane_Cold_2" sheetId="19" r:id="rId14"/>
    <sheet name="18g_Propane_AVG's" sheetId="20" r:id="rId15"/>
    <sheet name="CompareAvg" sheetId="7" r:id="rId16"/>
  </sheets>
  <definedNames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1" i="12" l="1"/>
  <c r="G102" i="12"/>
  <c r="G103" i="12"/>
  <c r="G104" i="12"/>
  <c r="G105" i="12"/>
  <c r="G106" i="12"/>
  <c r="G107" i="12"/>
  <c r="H105" i="20"/>
  <c r="H104" i="20"/>
  <c r="H103" i="20"/>
  <c r="H102" i="20"/>
  <c r="H101" i="20"/>
  <c r="H100" i="20"/>
  <c r="G100" i="20"/>
  <c r="H99" i="20"/>
  <c r="G99" i="20"/>
  <c r="H98" i="20"/>
  <c r="G98" i="20"/>
  <c r="H97" i="20"/>
  <c r="G97" i="20"/>
  <c r="H96" i="20"/>
  <c r="G96" i="20"/>
  <c r="H95" i="20"/>
  <c r="G95" i="20"/>
  <c r="H94" i="20"/>
  <c r="G94" i="20"/>
  <c r="H93" i="20"/>
  <c r="G93" i="20"/>
  <c r="H92" i="20"/>
  <c r="G92" i="20"/>
  <c r="H91" i="20"/>
  <c r="G91" i="20"/>
  <c r="H90" i="20"/>
  <c r="G90" i="20"/>
  <c r="H89" i="20"/>
  <c r="G89" i="20"/>
  <c r="H88" i="20"/>
  <c r="G88" i="20"/>
  <c r="H87" i="20"/>
  <c r="G87" i="20"/>
  <c r="H86" i="20"/>
  <c r="G86" i="20"/>
  <c r="H85" i="20"/>
  <c r="G85" i="20"/>
  <c r="H84" i="20"/>
  <c r="G84" i="20"/>
  <c r="H83" i="20"/>
  <c r="G83" i="20"/>
  <c r="H82" i="20"/>
  <c r="G82" i="20"/>
  <c r="H81" i="20"/>
  <c r="G81" i="20"/>
  <c r="H80" i="20"/>
  <c r="G80" i="20"/>
  <c r="H79" i="20"/>
  <c r="G79" i="20"/>
  <c r="H78" i="20"/>
  <c r="G78" i="20"/>
  <c r="H77" i="20"/>
  <c r="G77" i="20"/>
  <c r="H76" i="20"/>
  <c r="G76" i="20"/>
  <c r="H75" i="20"/>
  <c r="G75" i="20"/>
  <c r="H74" i="20"/>
  <c r="G74" i="20"/>
  <c r="H73" i="20"/>
  <c r="G73" i="20"/>
  <c r="H72" i="20"/>
  <c r="G72" i="20"/>
  <c r="H71" i="20"/>
  <c r="G71" i="20"/>
  <c r="H70" i="20"/>
  <c r="G70" i="20"/>
  <c r="H69" i="20"/>
  <c r="G69" i="20"/>
  <c r="H68" i="20"/>
  <c r="G68" i="20"/>
  <c r="H67" i="20"/>
  <c r="G67" i="20"/>
  <c r="H66" i="20"/>
  <c r="G66" i="20"/>
  <c r="H65" i="20"/>
  <c r="G65" i="20"/>
  <c r="H64" i="20"/>
  <c r="G64" i="20"/>
  <c r="H63" i="20"/>
  <c r="G63" i="20"/>
  <c r="H62" i="20"/>
  <c r="G62" i="20"/>
  <c r="H61" i="20"/>
  <c r="G61" i="20"/>
  <c r="H60" i="20"/>
  <c r="G60" i="20"/>
  <c r="H59" i="20"/>
  <c r="G59" i="20"/>
  <c r="H58" i="20"/>
  <c r="G58" i="20"/>
  <c r="H57" i="20"/>
  <c r="G57" i="20"/>
  <c r="H56" i="20"/>
  <c r="G56" i="20"/>
  <c r="H55" i="20"/>
  <c r="G55" i="20"/>
  <c r="H54" i="20"/>
  <c r="G54" i="20"/>
  <c r="H53" i="20"/>
  <c r="G53" i="20"/>
  <c r="H52" i="20"/>
  <c r="G52" i="20"/>
  <c r="H51" i="20"/>
  <c r="G51" i="20"/>
  <c r="H50" i="20"/>
  <c r="G50" i="20"/>
  <c r="H49" i="20"/>
  <c r="G49" i="20"/>
  <c r="H48" i="20"/>
  <c r="G48" i="20"/>
  <c r="H47" i="20"/>
  <c r="G47" i="20"/>
  <c r="H46" i="20"/>
  <c r="G46" i="20"/>
  <c r="H45" i="20"/>
  <c r="G45" i="20"/>
  <c r="S44" i="20"/>
  <c r="P44" i="20"/>
  <c r="H44" i="20"/>
  <c r="G44" i="20"/>
  <c r="H43" i="20"/>
  <c r="G43" i="20"/>
  <c r="H42" i="20"/>
  <c r="G42" i="20"/>
  <c r="H41" i="20"/>
  <c r="G41" i="20"/>
  <c r="H40" i="20"/>
  <c r="G40" i="20"/>
  <c r="H39" i="20"/>
  <c r="G39" i="20"/>
  <c r="H38" i="20"/>
  <c r="G38" i="20"/>
  <c r="H37" i="20"/>
  <c r="G37" i="20"/>
  <c r="H36" i="20"/>
  <c r="G36" i="20"/>
  <c r="H35" i="20"/>
  <c r="G35" i="20"/>
  <c r="H34" i="20"/>
  <c r="G34" i="20"/>
  <c r="H33" i="20"/>
  <c r="G33" i="20"/>
  <c r="H32" i="20"/>
  <c r="G32" i="20"/>
  <c r="H31" i="20"/>
  <c r="G31" i="20"/>
  <c r="H30" i="20"/>
  <c r="G30" i="20"/>
  <c r="H29" i="20"/>
  <c r="G29" i="20"/>
  <c r="H28" i="20"/>
  <c r="G28" i="20"/>
  <c r="H27" i="20"/>
  <c r="G27" i="20"/>
  <c r="H26" i="20"/>
  <c r="G26" i="20"/>
  <c r="H25" i="20"/>
  <c r="G25" i="20"/>
  <c r="H24" i="20"/>
  <c r="G24" i="20"/>
  <c r="H23" i="20"/>
  <c r="G23" i="20"/>
  <c r="K22" i="20"/>
  <c r="H22" i="20"/>
  <c r="G22" i="20"/>
  <c r="H21" i="20"/>
  <c r="G21" i="20"/>
  <c r="H20" i="20"/>
  <c r="G20" i="20"/>
  <c r="H19" i="20"/>
  <c r="G19" i="20"/>
  <c r="H18" i="20"/>
  <c r="G18" i="20"/>
  <c r="H17" i="20"/>
  <c r="G17" i="20"/>
  <c r="H16" i="20"/>
  <c r="G16" i="20"/>
  <c r="K15" i="20"/>
  <c r="H15" i="20"/>
  <c r="G15" i="20"/>
  <c r="H14" i="20"/>
  <c r="G14" i="20"/>
  <c r="H13" i="20"/>
  <c r="G13" i="20"/>
  <c r="H12" i="20"/>
  <c r="G12" i="20"/>
  <c r="H11" i="20"/>
  <c r="G11" i="20"/>
  <c r="H10" i="20"/>
  <c r="G10" i="20"/>
  <c r="H9" i="20"/>
  <c r="G9" i="20"/>
  <c r="K8" i="20"/>
  <c r="H8" i="20"/>
  <c r="G8" i="20"/>
  <c r="H7" i="20"/>
  <c r="G7" i="20"/>
  <c r="H6" i="20"/>
  <c r="G6" i="20"/>
  <c r="H5" i="20"/>
  <c r="G5" i="20"/>
  <c r="C5" i="20"/>
  <c r="C6" i="20" s="1"/>
  <c r="C7" i="20" s="1"/>
  <c r="C8" i="20" s="1"/>
  <c r="C9" i="20" s="1"/>
  <c r="C10" i="20" s="1"/>
  <c r="C11" i="20" s="1"/>
  <c r="C12" i="20" s="1"/>
  <c r="C13" i="20" s="1"/>
  <c r="C14" i="20" s="1"/>
  <c r="C15" i="20" s="1"/>
  <c r="C16" i="20" s="1"/>
  <c r="C17" i="20" s="1"/>
  <c r="C18" i="20" s="1"/>
  <c r="C19" i="20" s="1"/>
  <c r="C20" i="20" s="1"/>
  <c r="C21" i="20" s="1"/>
  <c r="C22" i="20" s="1"/>
  <c r="C23" i="20" s="1"/>
  <c r="C24" i="20" s="1"/>
  <c r="C25" i="20" s="1"/>
  <c r="C26" i="20" s="1"/>
  <c r="C27" i="20" s="1"/>
  <c r="C28" i="20" s="1"/>
  <c r="C29" i="20" s="1"/>
  <c r="C30" i="20" s="1"/>
  <c r="C31" i="20" s="1"/>
  <c r="C32" i="20" s="1"/>
  <c r="C33" i="20" s="1"/>
  <c r="C34" i="20" s="1"/>
  <c r="C35" i="20" s="1"/>
  <c r="C36" i="20" s="1"/>
  <c r="C37" i="20" s="1"/>
  <c r="C38" i="20" s="1"/>
  <c r="C39" i="20" s="1"/>
  <c r="C40" i="20" s="1"/>
  <c r="C41" i="20" s="1"/>
  <c r="C42" i="20" s="1"/>
  <c r="C43" i="20" s="1"/>
  <c r="C44" i="20" s="1"/>
  <c r="C45" i="20" s="1"/>
  <c r="C46" i="20" s="1"/>
  <c r="C47" i="20" s="1"/>
  <c r="C48" i="20" s="1"/>
  <c r="C49" i="20" s="1"/>
  <c r="C50" i="20" s="1"/>
  <c r="C51" i="20" s="1"/>
  <c r="C52" i="20" s="1"/>
  <c r="C53" i="20" s="1"/>
  <c r="C54" i="20" s="1"/>
  <c r="C55" i="20" s="1"/>
  <c r="C56" i="20" s="1"/>
  <c r="C57" i="20" s="1"/>
  <c r="C58" i="20" s="1"/>
  <c r="C59" i="20" s="1"/>
  <c r="C60" i="20" s="1"/>
  <c r="C61" i="20" s="1"/>
  <c r="C62" i="20" s="1"/>
  <c r="C63" i="20" s="1"/>
  <c r="C64" i="20" s="1"/>
  <c r="C65" i="20" s="1"/>
  <c r="C66" i="20" s="1"/>
  <c r="C67" i="20" s="1"/>
  <c r="C68" i="20" s="1"/>
  <c r="C69" i="20" s="1"/>
  <c r="C70" i="20" s="1"/>
  <c r="C71" i="20" s="1"/>
  <c r="C72" i="20" s="1"/>
  <c r="C73" i="20" s="1"/>
  <c r="C74" i="20" s="1"/>
  <c r="C75" i="20" s="1"/>
  <c r="C76" i="20" s="1"/>
  <c r="C77" i="20" s="1"/>
  <c r="C78" i="20" s="1"/>
  <c r="C79" i="20" s="1"/>
  <c r="C80" i="20" s="1"/>
  <c r="C81" i="20" s="1"/>
  <c r="C82" i="20" s="1"/>
  <c r="C83" i="20" s="1"/>
  <c r="C84" i="20" s="1"/>
  <c r="C85" i="20" s="1"/>
  <c r="C86" i="20" s="1"/>
  <c r="C87" i="20" s="1"/>
  <c r="C88" i="20" s="1"/>
  <c r="C89" i="20" s="1"/>
  <c r="C90" i="20" s="1"/>
  <c r="C91" i="20" s="1"/>
  <c r="C92" i="20" s="1"/>
  <c r="C93" i="20" s="1"/>
  <c r="C94" i="20" s="1"/>
  <c r="C95" i="20" s="1"/>
  <c r="C96" i="20" s="1"/>
  <c r="C97" i="20" s="1"/>
  <c r="C98" i="20" s="1"/>
  <c r="C99" i="20" s="1"/>
  <c r="C100" i="20" s="1"/>
  <c r="C101" i="20" s="1"/>
  <c r="C102" i="20" s="1"/>
  <c r="B2445" i="19"/>
  <c r="B2444" i="19"/>
  <c r="B2443" i="19"/>
  <c r="B2442" i="19"/>
  <c r="B2441" i="19"/>
  <c r="B2440" i="19"/>
  <c r="B2439" i="19"/>
  <c r="B2438" i="19"/>
  <c r="B2437" i="19"/>
  <c r="B2436" i="19"/>
  <c r="B2435" i="19"/>
  <c r="B2434" i="19"/>
  <c r="B2433" i="19"/>
  <c r="B2432" i="19"/>
  <c r="B2431" i="19"/>
  <c r="B2430" i="19"/>
  <c r="B2429" i="19"/>
  <c r="B2428" i="19"/>
  <c r="B2427" i="19"/>
  <c r="B2426" i="19"/>
  <c r="B2425" i="19"/>
  <c r="B2424" i="19"/>
  <c r="B2423" i="19"/>
  <c r="B2422" i="19"/>
  <c r="B2421" i="19"/>
  <c r="B2420" i="19"/>
  <c r="B2419" i="19"/>
  <c r="B2418" i="19"/>
  <c r="B2417" i="19"/>
  <c r="B2416" i="19"/>
  <c r="B2415" i="19"/>
  <c r="B2414" i="19"/>
  <c r="B2413" i="19"/>
  <c r="B2412" i="19"/>
  <c r="B2411" i="19"/>
  <c r="B2410" i="19"/>
  <c r="B2409" i="19"/>
  <c r="B2408" i="19"/>
  <c r="B2407" i="19"/>
  <c r="B2406" i="19"/>
  <c r="B2405" i="19"/>
  <c r="B2404" i="19"/>
  <c r="B2403" i="19"/>
  <c r="B2402" i="19"/>
  <c r="B2401" i="19"/>
  <c r="B2400" i="19"/>
  <c r="B2399" i="19"/>
  <c r="B2398" i="19"/>
  <c r="B2397" i="19"/>
  <c r="B2396" i="19"/>
  <c r="B2395" i="19"/>
  <c r="B2394" i="19"/>
  <c r="B2393" i="19"/>
  <c r="B2392" i="19"/>
  <c r="B2391" i="19"/>
  <c r="B2390" i="19"/>
  <c r="B2389" i="19"/>
  <c r="B2388" i="19"/>
  <c r="B2387" i="19"/>
  <c r="B2386" i="19"/>
  <c r="B2385" i="19"/>
  <c r="B2384" i="19"/>
  <c r="B2383" i="19"/>
  <c r="B2382" i="19"/>
  <c r="B2381" i="19"/>
  <c r="B2380" i="19"/>
  <c r="B2379" i="19"/>
  <c r="B2378" i="19"/>
  <c r="B2377" i="19"/>
  <c r="B2376" i="19"/>
  <c r="B2375" i="19"/>
  <c r="B2374" i="19"/>
  <c r="B2373" i="19"/>
  <c r="B2372" i="19"/>
  <c r="B2371" i="19"/>
  <c r="B2370" i="19"/>
  <c r="B2369" i="19"/>
  <c r="B2368" i="19"/>
  <c r="B2367" i="19"/>
  <c r="B2366" i="19"/>
  <c r="B2365" i="19"/>
  <c r="B2364" i="19"/>
  <c r="B2363" i="19"/>
  <c r="B2362" i="19"/>
  <c r="B2361" i="19"/>
  <c r="B2360" i="19"/>
  <c r="B2359" i="19"/>
  <c r="B2358" i="19"/>
  <c r="B2357" i="19"/>
  <c r="B2356" i="19"/>
  <c r="B2355" i="19"/>
  <c r="B2354" i="19"/>
  <c r="B2353" i="19"/>
  <c r="B2352" i="19"/>
  <c r="B2351" i="19"/>
  <c r="B2350" i="19"/>
  <c r="B2349" i="19"/>
  <c r="B2348" i="19"/>
  <c r="B2347" i="19"/>
  <c r="B2346" i="19"/>
  <c r="B2345" i="19"/>
  <c r="B2344" i="19"/>
  <c r="B2343" i="19"/>
  <c r="B2342" i="19"/>
  <c r="B2341" i="19"/>
  <c r="B2340" i="19"/>
  <c r="B2339" i="19"/>
  <c r="B2338" i="19"/>
  <c r="B2337" i="19"/>
  <c r="B2336" i="19"/>
  <c r="B2335" i="19"/>
  <c r="B2334" i="19"/>
  <c r="B2333" i="19"/>
  <c r="B2332" i="19"/>
  <c r="B2331" i="19"/>
  <c r="B2330" i="19"/>
  <c r="B2329" i="19"/>
  <c r="B2328" i="19"/>
  <c r="B2327" i="19"/>
  <c r="B2326" i="19"/>
  <c r="B2325" i="19"/>
  <c r="B2324" i="19"/>
  <c r="B2323" i="19"/>
  <c r="B2322" i="19"/>
  <c r="B2321" i="19"/>
  <c r="B2320" i="19"/>
  <c r="B2319" i="19"/>
  <c r="B2318" i="19"/>
  <c r="B2317" i="19"/>
  <c r="B2316" i="19"/>
  <c r="B2315" i="19"/>
  <c r="B2314" i="19"/>
  <c r="B2313" i="19"/>
  <c r="B2312" i="19"/>
  <c r="B2311" i="19"/>
  <c r="B2310" i="19"/>
  <c r="B2309" i="19"/>
  <c r="B2308" i="19"/>
  <c r="B2307" i="19"/>
  <c r="B2306" i="19"/>
  <c r="B2305" i="19"/>
  <c r="B2304" i="19"/>
  <c r="B2303" i="19"/>
  <c r="B2302" i="19"/>
  <c r="B2301" i="19"/>
  <c r="B2300" i="19"/>
  <c r="B2299" i="19"/>
  <c r="B2298" i="19"/>
  <c r="B2297" i="19"/>
  <c r="B2296" i="19"/>
  <c r="B2295" i="19"/>
  <c r="B2294" i="19"/>
  <c r="B2293" i="19"/>
  <c r="B2292" i="19"/>
  <c r="B2291" i="19"/>
  <c r="B2290" i="19"/>
  <c r="B2289" i="19"/>
  <c r="B2288" i="19"/>
  <c r="B2287" i="19"/>
  <c r="B2286" i="19"/>
  <c r="B2285" i="19"/>
  <c r="B2284" i="19"/>
  <c r="B2283" i="19"/>
  <c r="B2282" i="19"/>
  <c r="B2281" i="19"/>
  <c r="B2280" i="19"/>
  <c r="B2279" i="19"/>
  <c r="B2278" i="19"/>
  <c r="B2277" i="19"/>
  <c r="B2276" i="19"/>
  <c r="B2275" i="19"/>
  <c r="B2274" i="19"/>
  <c r="B2273" i="19"/>
  <c r="B2272" i="19"/>
  <c r="B2271" i="19"/>
  <c r="B2270" i="19"/>
  <c r="B2269" i="19"/>
  <c r="B2268" i="19"/>
  <c r="B2267" i="19"/>
  <c r="B2266" i="19"/>
  <c r="B2265" i="19"/>
  <c r="B2264" i="19"/>
  <c r="B2263" i="19"/>
  <c r="B2262" i="19"/>
  <c r="B2261" i="19"/>
  <c r="B2260" i="19"/>
  <c r="B2259" i="19"/>
  <c r="B2258" i="19"/>
  <c r="B2257" i="19"/>
  <c r="B2256" i="19"/>
  <c r="B2255" i="19"/>
  <c r="B2254" i="19"/>
  <c r="B2253" i="19"/>
  <c r="B2252" i="19"/>
  <c r="B2251" i="19"/>
  <c r="B2250" i="19"/>
  <c r="B2249" i="19"/>
  <c r="B2248" i="19"/>
  <c r="B2247" i="19"/>
  <c r="B2246" i="19"/>
  <c r="B2245" i="19"/>
  <c r="B2244" i="19"/>
  <c r="B2243" i="19"/>
  <c r="B2242" i="19"/>
  <c r="B2241" i="19"/>
  <c r="B2240" i="19"/>
  <c r="B2239" i="19"/>
  <c r="B2238" i="19"/>
  <c r="B2237" i="19"/>
  <c r="B2236" i="19"/>
  <c r="B2235" i="19"/>
  <c r="B2234" i="19"/>
  <c r="B2233" i="19"/>
  <c r="B2232" i="19"/>
  <c r="B2231" i="19"/>
  <c r="B2230" i="19"/>
  <c r="B2229" i="19"/>
  <c r="B2228" i="19"/>
  <c r="B2227" i="19"/>
  <c r="B2226" i="19"/>
  <c r="B2225" i="19"/>
  <c r="B2224" i="19"/>
  <c r="B2223" i="19"/>
  <c r="B2222" i="19"/>
  <c r="B2221" i="19"/>
  <c r="B2220" i="19"/>
  <c r="B2219" i="19"/>
  <c r="B2218" i="19"/>
  <c r="B2217" i="19"/>
  <c r="B2216" i="19"/>
  <c r="B2215" i="19"/>
  <c r="B2214" i="19"/>
  <c r="B2213" i="19"/>
  <c r="B2212" i="19"/>
  <c r="B2211" i="19"/>
  <c r="B2210" i="19"/>
  <c r="B2209" i="19"/>
  <c r="B2208" i="19"/>
  <c r="B2207" i="19"/>
  <c r="B2206" i="19"/>
  <c r="B2205" i="19"/>
  <c r="B2204" i="19"/>
  <c r="B2203" i="19"/>
  <c r="B2202" i="19"/>
  <c r="B2201" i="19"/>
  <c r="B2200" i="19"/>
  <c r="B2199" i="19"/>
  <c r="B2198" i="19"/>
  <c r="B2197" i="19"/>
  <c r="B2196" i="19"/>
  <c r="B2195" i="19"/>
  <c r="B2194" i="19"/>
  <c r="B2193" i="19"/>
  <c r="B2192" i="19"/>
  <c r="B2191" i="19"/>
  <c r="B2190" i="19"/>
  <c r="B2189" i="19"/>
  <c r="B2188" i="19"/>
  <c r="B2187" i="19"/>
  <c r="B2186" i="19"/>
  <c r="B2185" i="19"/>
  <c r="B2184" i="19"/>
  <c r="B2183" i="19"/>
  <c r="B2182" i="19"/>
  <c r="B2181" i="19"/>
  <c r="B2180" i="19"/>
  <c r="B2179" i="19"/>
  <c r="B2178" i="19"/>
  <c r="B2177" i="19"/>
  <c r="B2176" i="19"/>
  <c r="B2175" i="19"/>
  <c r="B2174" i="19"/>
  <c r="B2173" i="19"/>
  <c r="B2172" i="19"/>
  <c r="B2171" i="19"/>
  <c r="B2170" i="19"/>
  <c r="B2169" i="19"/>
  <c r="B2168" i="19"/>
  <c r="B2167" i="19"/>
  <c r="B2166" i="19"/>
  <c r="B2165" i="19"/>
  <c r="B2164" i="19"/>
  <c r="B2163" i="19"/>
  <c r="B2162" i="19"/>
  <c r="B2161" i="19"/>
  <c r="B2160" i="19"/>
  <c r="B2159" i="19"/>
  <c r="B2158" i="19"/>
  <c r="B2157" i="19"/>
  <c r="B2156" i="19"/>
  <c r="B2155" i="19"/>
  <c r="B2154" i="19"/>
  <c r="B2153" i="19"/>
  <c r="B2152" i="19"/>
  <c r="B2151" i="19"/>
  <c r="B2150" i="19"/>
  <c r="B2149" i="19"/>
  <c r="B2148" i="19"/>
  <c r="B2147" i="19"/>
  <c r="B2146" i="19"/>
  <c r="B2145" i="19"/>
  <c r="B2144" i="19"/>
  <c r="B2143" i="19"/>
  <c r="B2142" i="19"/>
  <c r="B2141" i="19"/>
  <c r="B2140" i="19"/>
  <c r="B2139" i="19"/>
  <c r="B2138" i="19"/>
  <c r="B2137" i="19"/>
  <c r="B2136" i="19"/>
  <c r="B2135" i="19"/>
  <c r="B2134" i="19"/>
  <c r="B2133" i="19"/>
  <c r="B2132" i="19"/>
  <c r="B2131" i="19"/>
  <c r="B2130" i="19"/>
  <c r="B2129" i="19"/>
  <c r="B2128" i="19"/>
  <c r="B2127" i="19"/>
  <c r="B2126" i="19"/>
  <c r="B2125" i="19"/>
  <c r="B2124" i="19"/>
  <c r="B2123" i="19"/>
  <c r="B2122" i="19"/>
  <c r="B2121" i="19"/>
  <c r="B2120" i="19"/>
  <c r="B2119" i="19"/>
  <c r="B2118" i="19"/>
  <c r="B2117" i="19"/>
  <c r="B2116" i="19"/>
  <c r="B2115" i="19"/>
  <c r="B2114" i="19"/>
  <c r="B2113" i="19"/>
  <c r="B2112" i="19"/>
  <c r="B2111" i="19"/>
  <c r="B2110" i="19"/>
  <c r="B2109" i="19"/>
  <c r="B2108" i="19"/>
  <c r="B2107" i="19"/>
  <c r="B2106" i="19"/>
  <c r="B2105" i="19"/>
  <c r="B2104" i="19"/>
  <c r="B2103" i="19"/>
  <c r="B2102" i="19"/>
  <c r="B2101" i="19"/>
  <c r="B2100" i="19"/>
  <c r="B2099" i="19"/>
  <c r="B2098" i="19"/>
  <c r="B2097" i="19"/>
  <c r="B2096" i="19"/>
  <c r="B2095" i="19"/>
  <c r="B2094" i="19"/>
  <c r="B2093" i="19"/>
  <c r="B2092" i="19"/>
  <c r="B2091" i="19"/>
  <c r="B2090" i="19"/>
  <c r="B2089" i="19"/>
  <c r="B2088" i="19"/>
  <c r="B2087" i="19"/>
  <c r="B2086" i="19"/>
  <c r="B2085" i="19"/>
  <c r="B2084" i="19"/>
  <c r="B2083" i="19"/>
  <c r="B2082" i="19"/>
  <c r="B2081" i="19"/>
  <c r="B2080" i="19"/>
  <c r="B2079" i="19"/>
  <c r="B2078" i="19"/>
  <c r="B2077" i="19"/>
  <c r="B2076" i="19"/>
  <c r="B2075" i="19"/>
  <c r="B2074" i="19"/>
  <c r="B2073" i="19"/>
  <c r="B2072" i="19"/>
  <c r="B2071" i="19"/>
  <c r="B2070" i="19"/>
  <c r="B2069" i="19"/>
  <c r="B2068" i="19"/>
  <c r="B2067" i="19"/>
  <c r="B2066" i="19"/>
  <c r="B2065" i="19"/>
  <c r="B2064" i="19"/>
  <c r="B2063" i="19"/>
  <c r="B2062" i="19"/>
  <c r="B2061" i="19"/>
  <c r="B2060" i="19"/>
  <c r="B2059" i="19"/>
  <c r="B2058" i="19"/>
  <c r="B2057" i="19"/>
  <c r="B2056" i="19"/>
  <c r="B2055" i="19"/>
  <c r="B2054" i="19"/>
  <c r="B2053" i="19"/>
  <c r="B2052" i="19"/>
  <c r="B2051" i="19"/>
  <c r="B2050" i="19"/>
  <c r="B2049" i="19"/>
  <c r="B2048" i="19"/>
  <c r="B2047" i="19"/>
  <c r="B2046" i="19"/>
  <c r="B2045" i="19"/>
  <c r="B2044" i="19"/>
  <c r="B2043" i="19"/>
  <c r="B2042" i="19"/>
  <c r="B2041" i="19"/>
  <c r="B2040" i="19"/>
  <c r="B2039" i="19"/>
  <c r="B2038" i="19"/>
  <c r="B2037" i="19"/>
  <c r="B2036" i="19"/>
  <c r="B2035" i="19"/>
  <c r="B2034" i="19"/>
  <c r="B2033" i="19"/>
  <c r="B2032" i="19"/>
  <c r="B2031" i="19"/>
  <c r="B2030" i="19"/>
  <c r="B2029" i="19"/>
  <c r="B2028" i="19"/>
  <c r="B2027" i="19"/>
  <c r="B2026" i="19"/>
  <c r="B2025" i="19"/>
  <c r="B2024" i="19"/>
  <c r="B2023" i="19"/>
  <c r="B2022" i="19"/>
  <c r="B2021" i="19"/>
  <c r="B2020" i="19"/>
  <c r="B2019" i="19"/>
  <c r="B2018" i="19"/>
  <c r="B2017" i="19"/>
  <c r="B2016" i="19"/>
  <c r="B2015" i="19"/>
  <c r="B2014" i="19"/>
  <c r="B2013" i="19"/>
  <c r="B2012" i="19"/>
  <c r="B2011" i="19"/>
  <c r="B2010" i="19"/>
  <c r="B2009" i="19"/>
  <c r="B2008" i="19"/>
  <c r="B2007" i="19"/>
  <c r="B2006" i="19"/>
  <c r="B2005" i="19"/>
  <c r="B2004" i="19"/>
  <c r="B2003" i="19"/>
  <c r="B2002" i="19"/>
  <c r="B2001" i="19"/>
  <c r="B2000" i="19"/>
  <c r="B1999" i="19"/>
  <c r="B1998" i="19"/>
  <c r="B1997" i="19"/>
  <c r="B1996" i="19"/>
  <c r="B1995" i="19"/>
  <c r="B1994" i="19"/>
  <c r="B1993" i="19"/>
  <c r="B1992" i="19"/>
  <c r="B1991" i="19"/>
  <c r="B1990" i="19"/>
  <c r="B1989" i="19"/>
  <c r="B1988" i="19"/>
  <c r="B1987" i="19"/>
  <c r="B1986" i="19"/>
  <c r="B1985" i="19"/>
  <c r="B1984" i="19"/>
  <c r="B1983" i="19"/>
  <c r="B1982" i="19"/>
  <c r="B1981" i="19"/>
  <c r="B1980" i="19"/>
  <c r="B1979" i="19"/>
  <c r="B1978" i="19"/>
  <c r="B1977" i="19"/>
  <c r="B1976" i="19"/>
  <c r="B1975" i="19"/>
  <c r="B1974" i="19"/>
  <c r="B1973" i="19"/>
  <c r="B1972" i="19"/>
  <c r="B1971" i="19"/>
  <c r="B1970" i="19"/>
  <c r="B1969" i="19"/>
  <c r="B1968" i="19"/>
  <c r="B1967" i="19"/>
  <c r="B1966" i="19"/>
  <c r="B1965" i="19"/>
  <c r="B1964" i="19"/>
  <c r="B1963" i="19"/>
  <c r="B1962" i="19"/>
  <c r="B1961" i="19"/>
  <c r="B1960" i="19"/>
  <c r="B1959" i="19"/>
  <c r="B1958" i="19"/>
  <c r="B1957" i="19"/>
  <c r="B1956" i="19"/>
  <c r="B1955" i="19"/>
  <c r="B1954" i="19"/>
  <c r="B1953" i="19"/>
  <c r="B1952" i="19"/>
  <c r="B1951" i="19"/>
  <c r="B1950" i="19"/>
  <c r="B1949" i="19"/>
  <c r="B1948" i="19"/>
  <c r="B1947" i="19"/>
  <c r="B1946" i="19"/>
  <c r="B1945" i="19"/>
  <c r="B1944" i="19"/>
  <c r="B1943" i="19"/>
  <c r="B1942" i="19"/>
  <c r="B1941" i="19"/>
  <c r="B1940" i="19"/>
  <c r="B1939" i="19"/>
  <c r="B1938" i="19"/>
  <c r="B1937" i="19"/>
  <c r="B1936" i="19"/>
  <c r="B1935" i="19"/>
  <c r="B1934" i="19"/>
  <c r="B1933" i="19"/>
  <c r="B1932" i="19"/>
  <c r="B1931" i="19"/>
  <c r="B1930" i="19"/>
  <c r="B1929" i="19"/>
  <c r="B1928" i="19"/>
  <c r="B1927" i="19"/>
  <c r="B1926" i="19"/>
  <c r="B1925" i="19"/>
  <c r="B1924" i="19"/>
  <c r="B1923" i="19"/>
  <c r="B1922" i="19"/>
  <c r="B1921" i="19"/>
  <c r="B1920" i="19"/>
  <c r="B1919" i="19"/>
  <c r="B1918" i="19"/>
  <c r="B1917" i="19"/>
  <c r="B1916" i="19"/>
  <c r="B1915" i="19"/>
  <c r="B1914" i="19"/>
  <c r="B1913" i="19"/>
  <c r="B1912" i="19"/>
  <c r="B1911" i="19"/>
  <c r="B1910" i="19"/>
  <c r="B1909" i="19"/>
  <c r="B1908" i="19"/>
  <c r="B1907" i="19"/>
  <c r="B1906" i="19"/>
  <c r="B1905" i="19"/>
  <c r="B1904" i="19"/>
  <c r="B1903" i="19"/>
  <c r="B1902" i="19"/>
  <c r="B1901" i="19"/>
  <c r="B1900" i="19"/>
  <c r="B1899" i="19"/>
  <c r="B1898" i="19"/>
  <c r="B1897" i="19"/>
  <c r="B1896" i="19"/>
  <c r="B1895" i="19"/>
  <c r="B1894" i="19"/>
  <c r="B1893" i="19"/>
  <c r="B1892" i="19"/>
  <c r="B1891" i="19"/>
  <c r="B1890" i="19"/>
  <c r="B1889" i="19"/>
  <c r="B1888" i="19"/>
  <c r="B1887" i="19"/>
  <c r="B1886" i="19"/>
  <c r="B1885" i="19"/>
  <c r="B1884" i="19"/>
  <c r="B1883" i="19"/>
  <c r="B1882" i="19"/>
  <c r="B1881" i="19"/>
  <c r="B1880" i="19"/>
  <c r="B1879" i="19"/>
  <c r="B1878" i="19"/>
  <c r="B1877" i="19"/>
  <c r="B1876" i="19"/>
  <c r="B1875" i="19"/>
  <c r="B1874" i="19"/>
  <c r="B1873" i="19"/>
  <c r="B1872" i="19"/>
  <c r="B1871" i="19"/>
  <c r="B1870" i="19"/>
  <c r="B1869" i="19"/>
  <c r="B1868" i="19"/>
  <c r="B1867" i="19"/>
  <c r="B1866" i="19"/>
  <c r="B1865" i="19"/>
  <c r="B1864" i="19"/>
  <c r="B1863" i="19"/>
  <c r="B1862" i="19"/>
  <c r="B1861" i="19"/>
  <c r="B1860" i="19"/>
  <c r="B1859" i="19"/>
  <c r="B1858" i="19"/>
  <c r="B1857" i="19"/>
  <c r="B1856" i="19"/>
  <c r="B1855" i="19"/>
  <c r="B1854" i="19"/>
  <c r="B1853" i="19"/>
  <c r="B1852" i="19"/>
  <c r="B1851" i="19"/>
  <c r="B1850" i="19"/>
  <c r="B1849" i="19"/>
  <c r="B1848" i="19"/>
  <c r="B1847" i="19"/>
  <c r="B1846" i="19"/>
  <c r="B1845" i="19"/>
  <c r="B1844" i="19"/>
  <c r="B1843" i="19"/>
  <c r="B1842" i="19"/>
  <c r="B1841" i="19"/>
  <c r="B1840" i="19"/>
  <c r="B1839" i="19"/>
  <c r="B1838" i="19"/>
  <c r="B1837" i="19"/>
  <c r="B1836" i="19"/>
  <c r="B1835" i="19"/>
  <c r="B1834" i="19"/>
  <c r="B1833" i="19"/>
  <c r="B1832" i="19"/>
  <c r="B1831" i="19"/>
  <c r="B1830" i="19"/>
  <c r="B1829" i="19"/>
  <c r="B1828" i="19"/>
  <c r="B1827" i="19"/>
  <c r="B1826" i="19"/>
  <c r="B1825" i="19"/>
  <c r="B1824" i="19"/>
  <c r="B1823" i="19"/>
  <c r="B1822" i="19"/>
  <c r="B1821" i="19"/>
  <c r="B1820" i="19"/>
  <c r="B1819" i="19"/>
  <c r="B1818" i="19"/>
  <c r="B1817" i="19"/>
  <c r="B1816" i="19"/>
  <c r="B1815" i="19"/>
  <c r="B1814" i="19"/>
  <c r="B1813" i="19"/>
  <c r="B1812" i="19"/>
  <c r="B1811" i="19"/>
  <c r="B1810" i="19"/>
  <c r="B1809" i="19"/>
  <c r="B1808" i="19"/>
  <c r="B1807" i="19"/>
  <c r="B1806" i="19"/>
  <c r="B1805" i="19"/>
  <c r="B1804" i="19"/>
  <c r="B1803" i="19"/>
  <c r="B1802" i="19"/>
  <c r="B1801" i="19"/>
  <c r="B1800" i="19"/>
  <c r="B1799" i="19"/>
  <c r="B1798" i="19"/>
  <c r="B1797" i="19"/>
  <c r="B1796" i="19"/>
  <c r="B1795" i="19"/>
  <c r="B1794" i="19"/>
  <c r="B1793" i="19"/>
  <c r="B1792" i="19"/>
  <c r="B1791" i="19"/>
  <c r="B1790" i="19"/>
  <c r="B1789" i="19"/>
  <c r="B1788" i="19"/>
  <c r="B1787" i="19"/>
  <c r="B1786" i="19"/>
  <c r="B1785" i="19"/>
  <c r="B1784" i="19"/>
  <c r="B1783" i="19"/>
  <c r="B1782" i="19"/>
  <c r="B1781" i="19"/>
  <c r="B1780" i="19"/>
  <c r="B1779" i="19"/>
  <c r="B1778" i="19"/>
  <c r="B1777" i="19"/>
  <c r="B1776" i="19"/>
  <c r="B1775" i="19"/>
  <c r="B1774" i="19"/>
  <c r="B1773" i="19"/>
  <c r="B1772" i="19"/>
  <c r="B1771" i="19"/>
  <c r="B1770" i="19"/>
  <c r="B1769" i="19"/>
  <c r="B1768" i="19"/>
  <c r="B1767" i="19"/>
  <c r="B1766" i="19"/>
  <c r="B1765" i="19"/>
  <c r="B1764" i="19"/>
  <c r="B1763" i="19"/>
  <c r="B1762" i="19"/>
  <c r="B1761" i="19"/>
  <c r="B1760" i="19"/>
  <c r="B1759" i="19"/>
  <c r="B1758" i="19"/>
  <c r="B1757" i="19"/>
  <c r="B1756" i="19"/>
  <c r="B1755" i="19"/>
  <c r="B1754" i="19"/>
  <c r="B1753" i="19"/>
  <c r="B1752" i="19"/>
  <c r="B1751" i="19"/>
  <c r="B1750" i="19"/>
  <c r="B1749" i="19"/>
  <c r="B1748" i="19"/>
  <c r="B1747" i="19"/>
  <c r="B1746" i="19"/>
  <c r="B1745" i="19"/>
  <c r="B1744" i="19"/>
  <c r="B1743" i="19"/>
  <c r="B1742" i="19"/>
  <c r="B1741" i="19"/>
  <c r="B1740" i="19"/>
  <c r="B1739" i="19"/>
  <c r="B1738" i="19"/>
  <c r="B1737" i="19"/>
  <c r="B1736" i="19"/>
  <c r="B1735" i="19"/>
  <c r="B1734" i="19"/>
  <c r="B1733" i="19"/>
  <c r="B1732" i="19"/>
  <c r="B1731" i="19"/>
  <c r="B1730" i="19"/>
  <c r="B1729" i="19"/>
  <c r="B1728" i="19"/>
  <c r="B1727" i="19"/>
  <c r="B1726" i="19"/>
  <c r="B1725" i="19"/>
  <c r="B1724" i="19"/>
  <c r="B1723" i="19"/>
  <c r="B1722" i="19"/>
  <c r="B1721" i="19"/>
  <c r="B1720" i="19"/>
  <c r="B1719" i="19"/>
  <c r="B1718" i="19"/>
  <c r="B1717" i="19"/>
  <c r="B1716" i="19"/>
  <c r="B1715" i="19"/>
  <c r="B1714" i="19"/>
  <c r="B1713" i="19"/>
  <c r="B1712" i="19"/>
  <c r="B1711" i="19"/>
  <c r="B1710" i="19"/>
  <c r="B1709" i="19"/>
  <c r="B1708" i="19"/>
  <c r="B1707" i="19"/>
  <c r="B1706" i="19"/>
  <c r="B1705" i="19"/>
  <c r="B1704" i="19"/>
  <c r="B1703" i="19"/>
  <c r="B1702" i="19"/>
  <c r="B1701" i="19"/>
  <c r="B1700" i="19"/>
  <c r="B1699" i="19"/>
  <c r="B1698" i="19"/>
  <c r="B1697" i="19"/>
  <c r="B1696" i="19"/>
  <c r="B1695" i="19"/>
  <c r="B1694" i="19"/>
  <c r="B1693" i="19"/>
  <c r="B1692" i="19"/>
  <c r="B1691" i="19"/>
  <c r="B1690" i="19"/>
  <c r="B1689" i="19"/>
  <c r="B1688" i="19"/>
  <c r="B1687" i="19"/>
  <c r="B1686" i="19"/>
  <c r="B1685" i="19"/>
  <c r="B1684" i="19"/>
  <c r="B1683" i="19"/>
  <c r="B1682" i="19"/>
  <c r="B1681" i="19"/>
  <c r="B1680" i="19"/>
  <c r="B1679" i="19"/>
  <c r="B1678" i="19"/>
  <c r="B1677" i="19"/>
  <c r="B1676" i="19"/>
  <c r="B1675" i="19"/>
  <c r="B1674" i="19"/>
  <c r="B1673" i="19"/>
  <c r="B1672" i="19"/>
  <c r="B1671" i="19"/>
  <c r="B1670" i="19"/>
  <c r="B1669" i="19"/>
  <c r="B1668" i="19"/>
  <c r="B1667" i="19"/>
  <c r="B1666" i="19"/>
  <c r="B1665" i="19"/>
  <c r="B1664" i="19"/>
  <c r="B1663" i="19"/>
  <c r="B1662" i="19"/>
  <c r="B1661" i="19"/>
  <c r="B1660" i="19"/>
  <c r="B1659" i="19"/>
  <c r="B1658" i="19"/>
  <c r="B1657" i="19"/>
  <c r="B1656" i="19"/>
  <c r="B1655" i="19"/>
  <c r="B1654" i="19"/>
  <c r="B1653" i="19"/>
  <c r="B1652" i="19"/>
  <c r="B1651" i="19"/>
  <c r="B1650" i="19"/>
  <c r="B1649" i="19"/>
  <c r="B1648" i="19"/>
  <c r="B1647" i="19"/>
  <c r="B1646" i="19"/>
  <c r="B1645" i="19"/>
  <c r="B1644" i="19"/>
  <c r="B1643" i="19"/>
  <c r="B1642" i="19"/>
  <c r="B1641" i="19"/>
  <c r="B1640" i="19"/>
  <c r="B1639" i="19"/>
  <c r="B1638" i="19"/>
  <c r="B1637" i="19"/>
  <c r="B1636" i="19"/>
  <c r="B1635" i="19"/>
  <c r="B1634" i="19"/>
  <c r="B1633" i="19"/>
  <c r="B1632" i="19"/>
  <c r="B1631" i="19"/>
  <c r="B1630" i="19"/>
  <c r="B1629" i="19"/>
  <c r="B1628" i="19"/>
  <c r="B1627" i="19"/>
  <c r="B1626" i="19"/>
  <c r="B1625" i="19"/>
  <c r="B1624" i="19"/>
  <c r="B1623" i="19"/>
  <c r="B1622" i="19"/>
  <c r="B1621" i="19"/>
  <c r="B1620" i="19"/>
  <c r="B1619" i="19"/>
  <c r="B1618" i="19"/>
  <c r="B1617" i="19"/>
  <c r="B1616" i="19"/>
  <c r="B1615" i="19"/>
  <c r="B1614" i="19"/>
  <c r="B1613" i="19"/>
  <c r="B1612" i="19"/>
  <c r="B1611" i="19"/>
  <c r="B1610" i="19"/>
  <c r="B1609" i="19"/>
  <c r="B1608" i="19"/>
  <c r="B1607" i="19"/>
  <c r="B1606" i="19"/>
  <c r="B1605" i="19"/>
  <c r="B1604" i="19"/>
  <c r="B1603" i="19"/>
  <c r="B1602" i="19"/>
  <c r="B1601" i="19"/>
  <c r="B1600" i="19"/>
  <c r="B1599" i="19"/>
  <c r="B1598" i="19"/>
  <c r="B1597" i="19"/>
  <c r="B1596" i="19"/>
  <c r="B1595" i="19"/>
  <c r="B1594" i="19"/>
  <c r="B1593" i="19"/>
  <c r="B1592" i="19"/>
  <c r="B1591" i="19"/>
  <c r="B1590" i="19"/>
  <c r="B1589" i="19"/>
  <c r="B1588" i="19"/>
  <c r="B1587" i="19"/>
  <c r="B1586" i="19"/>
  <c r="B1585" i="19"/>
  <c r="B1584" i="19"/>
  <c r="B1583" i="19"/>
  <c r="B1582" i="19"/>
  <c r="B1581" i="19"/>
  <c r="B1580" i="19"/>
  <c r="B1579" i="19"/>
  <c r="B1578" i="19"/>
  <c r="B1577" i="19"/>
  <c r="B1576" i="19"/>
  <c r="B1575" i="19"/>
  <c r="B1574" i="19"/>
  <c r="B1573" i="19"/>
  <c r="B1572" i="19"/>
  <c r="B1571" i="19"/>
  <c r="B1570" i="19"/>
  <c r="B1569" i="19"/>
  <c r="B1568" i="19"/>
  <c r="B1567" i="19"/>
  <c r="B1566" i="19"/>
  <c r="B1565" i="19"/>
  <c r="B1564" i="19"/>
  <c r="B1563" i="19"/>
  <c r="B1562" i="19"/>
  <c r="B1561" i="19"/>
  <c r="B1560" i="19"/>
  <c r="B1559" i="19"/>
  <c r="B1558" i="19"/>
  <c r="B1557" i="19"/>
  <c r="B1556" i="19"/>
  <c r="B1555" i="19"/>
  <c r="B1554" i="19"/>
  <c r="B1553" i="19"/>
  <c r="B1552" i="19"/>
  <c r="B1551" i="19"/>
  <c r="B1550" i="19"/>
  <c r="B1549" i="19"/>
  <c r="B1548" i="19"/>
  <c r="B1547" i="19"/>
  <c r="B1546" i="19"/>
  <c r="B1545" i="19"/>
  <c r="B1544" i="19"/>
  <c r="B1543" i="19"/>
  <c r="B1542" i="19"/>
  <c r="B1541" i="19"/>
  <c r="B1540" i="19"/>
  <c r="B1539" i="19"/>
  <c r="B1538" i="19"/>
  <c r="B1537" i="19"/>
  <c r="B1536" i="19"/>
  <c r="B1535" i="19"/>
  <c r="B1534" i="19"/>
  <c r="B1533" i="19"/>
  <c r="B1532" i="19"/>
  <c r="B1531" i="19"/>
  <c r="B1530" i="19"/>
  <c r="B1529" i="19"/>
  <c r="B1528" i="19"/>
  <c r="B1527" i="19"/>
  <c r="B1526" i="19"/>
  <c r="B1525" i="19"/>
  <c r="B1524" i="19"/>
  <c r="B1523" i="19"/>
  <c r="B1522" i="19"/>
  <c r="B1521" i="19"/>
  <c r="B1520" i="19"/>
  <c r="B1519" i="19"/>
  <c r="B1518" i="19"/>
  <c r="B1517" i="19"/>
  <c r="B1516" i="19"/>
  <c r="B1515" i="19"/>
  <c r="B1514" i="19"/>
  <c r="B1513" i="19"/>
  <c r="B1512" i="19"/>
  <c r="B1511" i="19"/>
  <c r="B1510" i="19"/>
  <c r="B1509" i="19"/>
  <c r="B1508" i="19"/>
  <c r="B1507" i="19"/>
  <c r="B1506" i="19"/>
  <c r="B1505" i="19"/>
  <c r="B1504" i="19"/>
  <c r="B1503" i="19"/>
  <c r="B1502" i="19"/>
  <c r="B1501" i="19"/>
  <c r="B1500" i="19"/>
  <c r="B1499" i="19"/>
  <c r="B1498" i="19"/>
  <c r="B1497" i="19"/>
  <c r="B1496" i="19"/>
  <c r="B1495" i="19"/>
  <c r="B1494" i="19"/>
  <c r="B1493" i="19"/>
  <c r="B1492" i="19"/>
  <c r="B1491" i="19"/>
  <c r="B1490" i="19"/>
  <c r="B1489" i="19"/>
  <c r="B1488" i="19"/>
  <c r="B1487" i="19"/>
  <c r="B1486" i="19"/>
  <c r="B1485" i="19"/>
  <c r="B1484" i="19"/>
  <c r="B1483" i="19"/>
  <c r="B1482" i="19"/>
  <c r="B1481" i="19"/>
  <c r="B1480" i="19"/>
  <c r="B1479" i="19"/>
  <c r="B1478" i="19"/>
  <c r="B1477" i="19"/>
  <c r="B1476" i="19"/>
  <c r="B1475" i="19"/>
  <c r="B1474" i="19"/>
  <c r="B1473" i="19"/>
  <c r="B1472" i="19"/>
  <c r="B1471" i="19"/>
  <c r="B1470" i="19"/>
  <c r="B1469" i="19"/>
  <c r="B1468" i="19"/>
  <c r="B1467" i="19"/>
  <c r="B1466" i="19"/>
  <c r="B1465" i="19"/>
  <c r="B1464" i="19"/>
  <c r="B1463" i="19"/>
  <c r="B1462" i="19"/>
  <c r="B1461" i="19"/>
  <c r="B1460" i="19"/>
  <c r="B1459" i="19"/>
  <c r="B1458" i="19"/>
  <c r="B1457" i="19"/>
  <c r="B1456" i="19"/>
  <c r="B1455" i="19"/>
  <c r="B1454" i="19"/>
  <c r="B1453" i="19"/>
  <c r="B1452" i="19"/>
  <c r="B1451" i="19"/>
  <c r="B1450" i="19"/>
  <c r="B1449" i="19"/>
  <c r="B1448" i="19"/>
  <c r="B1447" i="19"/>
  <c r="B1446" i="19"/>
  <c r="B1445" i="19"/>
  <c r="B1444" i="19"/>
  <c r="B1443" i="19"/>
  <c r="B1442" i="19"/>
  <c r="B1441" i="19"/>
  <c r="B1440" i="19"/>
  <c r="B1439" i="19"/>
  <c r="B1438" i="19"/>
  <c r="B1437" i="19"/>
  <c r="B1436" i="19"/>
  <c r="B1435" i="19"/>
  <c r="B1434" i="19"/>
  <c r="B1433" i="19"/>
  <c r="B1432" i="19"/>
  <c r="B1431" i="19"/>
  <c r="B1430" i="19"/>
  <c r="B1429" i="19"/>
  <c r="B1428" i="19"/>
  <c r="B1427" i="19"/>
  <c r="B1426" i="19"/>
  <c r="B1425" i="19"/>
  <c r="B1424" i="19"/>
  <c r="B1423" i="19"/>
  <c r="B1422" i="19"/>
  <c r="B1421" i="19"/>
  <c r="B1420" i="19"/>
  <c r="B1419" i="19"/>
  <c r="B1418" i="19"/>
  <c r="B1417" i="19"/>
  <c r="B1416" i="19"/>
  <c r="B1415" i="19"/>
  <c r="B1414" i="19"/>
  <c r="B1413" i="19"/>
  <c r="B1412" i="19"/>
  <c r="B1411" i="19"/>
  <c r="B1410" i="19"/>
  <c r="B1409" i="19"/>
  <c r="B1408" i="19"/>
  <c r="B1407" i="19"/>
  <c r="B1406" i="19"/>
  <c r="B1405" i="19"/>
  <c r="B1404" i="19"/>
  <c r="B1403" i="19"/>
  <c r="B1402" i="19"/>
  <c r="B1401" i="19"/>
  <c r="B1400" i="19"/>
  <c r="B1399" i="19"/>
  <c r="B1398" i="19"/>
  <c r="B1397" i="19"/>
  <c r="B1396" i="19"/>
  <c r="B1395" i="19"/>
  <c r="B1394" i="19"/>
  <c r="B1393" i="19"/>
  <c r="B1392" i="19"/>
  <c r="B1391" i="19"/>
  <c r="B1390" i="19"/>
  <c r="B1389" i="19"/>
  <c r="B1388" i="19"/>
  <c r="B1387" i="19"/>
  <c r="B1386" i="19"/>
  <c r="B1385" i="19"/>
  <c r="B1384" i="19"/>
  <c r="B1383" i="19"/>
  <c r="B1382" i="19"/>
  <c r="B1381" i="19"/>
  <c r="B1380" i="19"/>
  <c r="B1379" i="19"/>
  <c r="B1378" i="19"/>
  <c r="B1377" i="19"/>
  <c r="B1376" i="19"/>
  <c r="B1375" i="19"/>
  <c r="B1374" i="19"/>
  <c r="B1373" i="19"/>
  <c r="B1372" i="19"/>
  <c r="B1371" i="19"/>
  <c r="B1370" i="19"/>
  <c r="B1369" i="19"/>
  <c r="B1368" i="19"/>
  <c r="B1367" i="19"/>
  <c r="B1366" i="19"/>
  <c r="B1365" i="19"/>
  <c r="B1364" i="19"/>
  <c r="B1363" i="19"/>
  <c r="B1362" i="19"/>
  <c r="B1361" i="19"/>
  <c r="B1360" i="19"/>
  <c r="B1359" i="19"/>
  <c r="B1358" i="19"/>
  <c r="B1357" i="19"/>
  <c r="B1356" i="19"/>
  <c r="B1355" i="19"/>
  <c r="B1354" i="19"/>
  <c r="B1353" i="19"/>
  <c r="B1352" i="19"/>
  <c r="B1351" i="19"/>
  <c r="B1350" i="19"/>
  <c r="B1349" i="19"/>
  <c r="B1348" i="19"/>
  <c r="B1347" i="19"/>
  <c r="B1346" i="19"/>
  <c r="B1345" i="19"/>
  <c r="B1344" i="19"/>
  <c r="B1343" i="19"/>
  <c r="B1342" i="19"/>
  <c r="B1341" i="19"/>
  <c r="B1340" i="19"/>
  <c r="B1339" i="19"/>
  <c r="B1338" i="19"/>
  <c r="B1337" i="19"/>
  <c r="B1336" i="19"/>
  <c r="B1335" i="19"/>
  <c r="B1334" i="19"/>
  <c r="B1333" i="19"/>
  <c r="B1332" i="19"/>
  <c r="B1331" i="19"/>
  <c r="B1330" i="19"/>
  <c r="B1329" i="19"/>
  <c r="B1328" i="19"/>
  <c r="B1327" i="19"/>
  <c r="B1326" i="19"/>
  <c r="B1325" i="19"/>
  <c r="B1324" i="19"/>
  <c r="B1323" i="19"/>
  <c r="B1322" i="19"/>
  <c r="B1321" i="19"/>
  <c r="B1320" i="19"/>
  <c r="B1319" i="19"/>
  <c r="B1318" i="19"/>
  <c r="B1317" i="19"/>
  <c r="B1316" i="19"/>
  <c r="B1315" i="19"/>
  <c r="B1314" i="19"/>
  <c r="B1313" i="19"/>
  <c r="B1312" i="19"/>
  <c r="B1311" i="19"/>
  <c r="B1310" i="19"/>
  <c r="B1309" i="19"/>
  <c r="B1308" i="19"/>
  <c r="B1307" i="19"/>
  <c r="B1306" i="19"/>
  <c r="B1305" i="19"/>
  <c r="B1304" i="19"/>
  <c r="B1303" i="19"/>
  <c r="B1302" i="19"/>
  <c r="B1301" i="19"/>
  <c r="B1300" i="19"/>
  <c r="B1299" i="19"/>
  <c r="B1298" i="19"/>
  <c r="B1297" i="19"/>
  <c r="B1296" i="19"/>
  <c r="B1295" i="19"/>
  <c r="B1294" i="19"/>
  <c r="B1293" i="19"/>
  <c r="B1292" i="19"/>
  <c r="B1291" i="19"/>
  <c r="B1290" i="19"/>
  <c r="B1289" i="19"/>
  <c r="B1288" i="19"/>
  <c r="B1287" i="19"/>
  <c r="B1286" i="19"/>
  <c r="B1285" i="19"/>
  <c r="B1284" i="19"/>
  <c r="B1283" i="19"/>
  <c r="B1282" i="19"/>
  <c r="B1281" i="19"/>
  <c r="B1280" i="19"/>
  <c r="B1279" i="19"/>
  <c r="B1278" i="19"/>
  <c r="B1277" i="19"/>
  <c r="B1276" i="19"/>
  <c r="B1275" i="19"/>
  <c r="B1274" i="19"/>
  <c r="B1273" i="19"/>
  <c r="B1272" i="19"/>
  <c r="B1271" i="19"/>
  <c r="B1270" i="19"/>
  <c r="B1269" i="19"/>
  <c r="B1268" i="19"/>
  <c r="B1267" i="19"/>
  <c r="B1266" i="19"/>
  <c r="B1265" i="19"/>
  <c r="B1264" i="19"/>
  <c r="B1263" i="19"/>
  <c r="B1262" i="19"/>
  <c r="B1261" i="19"/>
  <c r="B1260" i="19"/>
  <c r="B1259" i="19"/>
  <c r="B1258" i="19"/>
  <c r="B1257" i="19"/>
  <c r="B1256" i="19"/>
  <c r="B1255" i="19"/>
  <c r="B1254" i="19"/>
  <c r="B1253" i="19"/>
  <c r="B1252" i="19"/>
  <c r="B1251" i="19"/>
  <c r="B1250" i="19"/>
  <c r="B1249" i="19"/>
  <c r="B1248" i="19"/>
  <c r="B1247" i="19"/>
  <c r="B1246" i="19"/>
  <c r="B1245" i="19"/>
  <c r="B1244" i="19"/>
  <c r="B1243" i="19"/>
  <c r="B1242" i="19"/>
  <c r="B1241" i="19"/>
  <c r="B1240" i="19"/>
  <c r="B1239" i="19"/>
  <c r="B1238" i="19"/>
  <c r="B1237" i="19"/>
  <c r="B1236" i="19"/>
  <c r="B1235" i="19"/>
  <c r="B1234" i="19"/>
  <c r="B1233" i="19"/>
  <c r="B1232" i="19"/>
  <c r="B1231" i="19"/>
  <c r="B1230" i="19"/>
  <c r="B1229" i="19"/>
  <c r="B1228" i="19"/>
  <c r="B1227" i="19"/>
  <c r="B1226" i="19"/>
  <c r="B1225" i="19"/>
  <c r="B1224" i="19"/>
  <c r="B1223" i="19"/>
  <c r="B1222" i="19"/>
  <c r="B1221" i="19"/>
  <c r="B1220" i="19"/>
  <c r="B1219" i="19"/>
  <c r="B1218" i="19"/>
  <c r="B1217" i="19"/>
  <c r="B1216" i="19"/>
  <c r="B1215" i="19"/>
  <c r="B1214" i="19"/>
  <c r="B1213" i="19"/>
  <c r="B1212" i="19"/>
  <c r="B1211" i="19"/>
  <c r="B1210" i="19"/>
  <c r="B1209" i="19"/>
  <c r="B1208" i="19"/>
  <c r="B1207" i="19"/>
  <c r="B1206" i="19"/>
  <c r="B1205" i="19"/>
  <c r="B1204" i="19"/>
  <c r="B1203" i="19"/>
  <c r="B1202" i="19"/>
  <c r="B1201" i="19"/>
  <c r="B1200" i="19"/>
  <c r="B1199" i="19"/>
  <c r="B1198" i="19"/>
  <c r="B1197" i="19"/>
  <c r="B1196" i="19"/>
  <c r="B1195" i="19"/>
  <c r="B1194" i="19"/>
  <c r="B1193" i="19"/>
  <c r="B1192" i="19"/>
  <c r="B1191" i="19"/>
  <c r="B1190" i="19"/>
  <c r="B1189" i="19"/>
  <c r="B1188" i="19"/>
  <c r="B1187" i="19"/>
  <c r="B1186" i="19"/>
  <c r="B1185" i="19"/>
  <c r="B1184" i="19"/>
  <c r="B1183" i="19"/>
  <c r="B1182" i="19"/>
  <c r="B1181" i="19"/>
  <c r="B1180" i="19"/>
  <c r="B1179" i="19"/>
  <c r="B1178" i="19"/>
  <c r="B1177" i="19"/>
  <c r="B1176" i="19"/>
  <c r="B1175" i="19"/>
  <c r="B1174" i="19"/>
  <c r="B1173" i="19"/>
  <c r="B1172" i="19"/>
  <c r="B1171" i="19"/>
  <c r="B1170" i="19"/>
  <c r="B1169" i="19"/>
  <c r="B1168" i="19"/>
  <c r="B1167" i="19"/>
  <c r="B1166" i="19"/>
  <c r="B1165" i="19"/>
  <c r="B1164" i="19"/>
  <c r="B1163" i="19"/>
  <c r="B1162" i="19"/>
  <c r="B1161" i="19"/>
  <c r="B1160" i="19"/>
  <c r="B1159" i="19"/>
  <c r="B1158" i="19"/>
  <c r="B1157" i="19"/>
  <c r="B1156" i="19"/>
  <c r="B1155" i="19"/>
  <c r="B1154" i="19"/>
  <c r="B1153" i="19"/>
  <c r="B1152" i="19"/>
  <c r="B1151" i="19"/>
  <c r="B1150" i="19"/>
  <c r="B1149" i="19"/>
  <c r="B1148" i="19"/>
  <c r="B1147" i="19"/>
  <c r="B1146" i="19"/>
  <c r="B1145" i="19"/>
  <c r="B1144" i="19"/>
  <c r="B1143" i="19"/>
  <c r="B1142" i="19"/>
  <c r="B1141" i="19"/>
  <c r="B1140" i="19"/>
  <c r="B1139" i="19"/>
  <c r="B1138" i="19"/>
  <c r="B1137" i="19"/>
  <c r="B1136" i="19"/>
  <c r="B1135" i="19"/>
  <c r="B1134" i="19"/>
  <c r="B1133" i="19"/>
  <c r="B1132" i="19"/>
  <c r="B1131" i="19"/>
  <c r="B1130" i="19"/>
  <c r="B1129" i="19"/>
  <c r="B1128" i="19"/>
  <c r="B1127" i="19"/>
  <c r="B1126" i="19"/>
  <c r="B1125" i="19"/>
  <c r="B1124" i="19"/>
  <c r="B1123" i="19"/>
  <c r="B1122" i="19"/>
  <c r="B1121" i="19"/>
  <c r="B1120" i="19"/>
  <c r="B1119" i="19"/>
  <c r="B1118" i="19"/>
  <c r="B1117" i="19"/>
  <c r="B1116" i="19"/>
  <c r="B1115" i="19"/>
  <c r="B1114" i="19"/>
  <c r="B1113" i="19"/>
  <c r="B1112" i="19"/>
  <c r="B1111" i="19"/>
  <c r="B1110" i="19"/>
  <c r="B1109" i="19"/>
  <c r="B1108" i="19"/>
  <c r="B1107" i="19"/>
  <c r="B1106" i="19"/>
  <c r="B1105" i="19"/>
  <c r="B1104" i="19"/>
  <c r="B1103" i="19"/>
  <c r="B1102" i="19"/>
  <c r="B1101" i="19"/>
  <c r="B1100" i="19"/>
  <c r="B1099" i="19"/>
  <c r="B1098" i="19"/>
  <c r="B1097" i="19"/>
  <c r="B1096" i="19"/>
  <c r="B1095" i="19"/>
  <c r="B1094" i="19"/>
  <c r="B1093" i="19"/>
  <c r="B1092" i="19"/>
  <c r="B1091" i="19"/>
  <c r="B1090" i="19"/>
  <c r="B1089" i="19"/>
  <c r="B1088" i="19"/>
  <c r="B1087" i="19"/>
  <c r="B1086" i="19"/>
  <c r="B1085" i="19"/>
  <c r="B1084" i="19"/>
  <c r="B1083" i="19"/>
  <c r="B1082" i="19"/>
  <c r="B1081" i="19"/>
  <c r="B1080" i="19"/>
  <c r="B1079" i="19"/>
  <c r="B1078" i="19"/>
  <c r="B1077" i="19"/>
  <c r="B1076" i="19"/>
  <c r="B1075" i="19"/>
  <c r="B1074" i="19"/>
  <c r="B1073" i="19"/>
  <c r="B1072" i="19"/>
  <c r="B1071" i="19"/>
  <c r="B1070" i="19"/>
  <c r="B1069" i="19"/>
  <c r="B1068" i="19"/>
  <c r="B1067" i="19"/>
  <c r="B1066" i="19"/>
  <c r="B1065" i="19"/>
  <c r="B1064" i="19"/>
  <c r="B1063" i="19"/>
  <c r="B1062" i="19"/>
  <c r="B1061" i="19"/>
  <c r="B1060" i="19"/>
  <c r="B1059" i="19"/>
  <c r="B1058" i="19"/>
  <c r="B1057" i="19"/>
  <c r="B1056" i="19"/>
  <c r="B1055" i="19"/>
  <c r="B1054" i="19"/>
  <c r="B1053" i="19"/>
  <c r="B1052" i="19"/>
  <c r="B1051" i="19"/>
  <c r="B1050" i="19"/>
  <c r="B1049" i="19"/>
  <c r="B1048" i="19"/>
  <c r="B1047" i="19"/>
  <c r="B1046" i="19"/>
  <c r="B1045" i="19"/>
  <c r="B1044" i="19"/>
  <c r="B1043" i="19"/>
  <c r="B1042" i="19"/>
  <c r="B1041" i="19"/>
  <c r="B1040" i="19"/>
  <c r="B1039" i="19"/>
  <c r="B1038" i="19"/>
  <c r="B1037" i="19"/>
  <c r="B1036" i="19"/>
  <c r="B1035" i="19"/>
  <c r="B1034" i="19"/>
  <c r="B1033" i="19"/>
  <c r="B1032" i="19"/>
  <c r="B1031" i="19"/>
  <c r="B1030" i="19"/>
  <c r="B1029" i="19"/>
  <c r="B1028" i="19"/>
  <c r="B1027" i="19"/>
  <c r="B1026" i="19"/>
  <c r="B1025" i="19"/>
  <c r="B1024" i="19"/>
  <c r="B1023" i="19"/>
  <c r="B1022" i="19"/>
  <c r="B1021" i="19"/>
  <c r="B1020" i="19"/>
  <c r="B1019" i="19"/>
  <c r="B1018" i="19"/>
  <c r="B1017" i="19"/>
  <c r="B1016" i="19"/>
  <c r="B1015" i="19"/>
  <c r="B1014" i="19"/>
  <c r="B1013" i="19"/>
  <c r="B1012" i="19"/>
  <c r="B1011" i="19"/>
  <c r="B1010" i="19"/>
  <c r="B1009" i="19"/>
  <c r="B1008" i="19"/>
  <c r="B1007" i="19"/>
  <c r="B1006" i="19"/>
  <c r="B1005" i="19"/>
  <c r="B1004" i="19"/>
  <c r="B1003" i="19"/>
  <c r="B1002" i="19"/>
  <c r="B1001" i="19"/>
  <c r="B1000" i="19"/>
  <c r="B999" i="19"/>
  <c r="B998" i="19"/>
  <c r="B997" i="19"/>
  <c r="B996" i="19"/>
  <c r="B995" i="19"/>
  <c r="B994" i="19"/>
  <c r="B993" i="19"/>
  <c r="B992" i="19"/>
  <c r="B991" i="19"/>
  <c r="B990" i="19"/>
  <c r="B989" i="19"/>
  <c r="B988" i="19"/>
  <c r="B987" i="19"/>
  <c r="B986" i="19"/>
  <c r="B985" i="19"/>
  <c r="B984" i="19"/>
  <c r="B983" i="19"/>
  <c r="B982" i="19"/>
  <c r="B981" i="19"/>
  <c r="B980" i="19"/>
  <c r="B979" i="19"/>
  <c r="B978" i="19"/>
  <c r="B977" i="19"/>
  <c r="B976" i="19"/>
  <c r="B975" i="19"/>
  <c r="B974" i="19"/>
  <c r="B973" i="19"/>
  <c r="B972" i="19"/>
  <c r="B971" i="19"/>
  <c r="B970" i="19"/>
  <c r="B969" i="19"/>
  <c r="B968" i="19"/>
  <c r="B967" i="19"/>
  <c r="B966" i="19"/>
  <c r="B965" i="19"/>
  <c r="B964" i="19"/>
  <c r="B963" i="19"/>
  <c r="B962" i="19"/>
  <c r="B961" i="19"/>
  <c r="B960" i="19"/>
  <c r="B959" i="19"/>
  <c r="B958" i="19"/>
  <c r="B957" i="19"/>
  <c r="B956" i="19"/>
  <c r="B955" i="19"/>
  <c r="B954" i="19"/>
  <c r="B953" i="19"/>
  <c r="B952" i="19"/>
  <c r="B951" i="19"/>
  <c r="B950" i="19"/>
  <c r="B949" i="19"/>
  <c r="B948" i="19"/>
  <c r="B947" i="19"/>
  <c r="B946" i="19"/>
  <c r="B945" i="19"/>
  <c r="B944" i="19"/>
  <c r="B943" i="19"/>
  <c r="B942" i="19"/>
  <c r="B941" i="19"/>
  <c r="B940" i="19"/>
  <c r="B939" i="19"/>
  <c r="B938" i="19"/>
  <c r="B937" i="19"/>
  <c r="B936" i="19"/>
  <c r="B935" i="19"/>
  <c r="B934" i="19"/>
  <c r="B933" i="19"/>
  <c r="B932" i="19"/>
  <c r="B931" i="19"/>
  <c r="B930" i="19"/>
  <c r="B929" i="19"/>
  <c r="B928" i="19"/>
  <c r="B927" i="19"/>
  <c r="B926" i="19"/>
  <c r="B925" i="19"/>
  <c r="B924" i="19"/>
  <c r="B923" i="19"/>
  <c r="B922" i="19"/>
  <c r="B921" i="19"/>
  <c r="B920" i="19"/>
  <c r="B919" i="19"/>
  <c r="B918" i="19"/>
  <c r="B917" i="19"/>
  <c r="B916" i="19"/>
  <c r="B915" i="19"/>
  <c r="B914" i="19"/>
  <c r="B913" i="19"/>
  <c r="B912" i="19"/>
  <c r="B911" i="19"/>
  <c r="B910" i="19"/>
  <c r="B909" i="19"/>
  <c r="B908" i="19"/>
  <c r="B907" i="19"/>
  <c r="B906" i="19"/>
  <c r="B905" i="19"/>
  <c r="B904" i="19"/>
  <c r="B903" i="19"/>
  <c r="B902" i="19"/>
  <c r="B901" i="19"/>
  <c r="B900" i="19"/>
  <c r="B899" i="19"/>
  <c r="B898" i="19"/>
  <c r="B897" i="19"/>
  <c r="B896" i="19"/>
  <c r="B895" i="19"/>
  <c r="B894" i="19"/>
  <c r="B893" i="19"/>
  <c r="B892" i="19"/>
  <c r="B891" i="19"/>
  <c r="B890" i="19"/>
  <c r="B889" i="19"/>
  <c r="B888" i="19"/>
  <c r="B887" i="19"/>
  <c r="B886" i="19"/>
  <c r="B885" i="19"/>
  <c r="B884" i="19"/>
  <c r="B883" i="19"/>
  <c r="B882" i="19"/>
  <c r="B881" i="19"/>
  <c r="B880" i="19"/>
  <c r="B879" i="19"/>
  <c r="B878" i="19"/>
  <c r="B877" i="19"/>
  <c r="B876" i="19"/>
  <c r="B875" i="19"/>
  <c r="B874" i="19"/>
  <c r="B873" i="19"/>
  <c r="B872" i="19"/>
  <c r="B871" i="19"/>
  <c r="B870" i="19"/>
  <c r="B869" i="19"/>
  <c r="B868" i="19"/>
  <c r="B867" i="19"/>
  <c r="B866" i="19"/>
  <c r="B865" i="19"/>
  <c r="B864" i="19"/>
  <c r="B863" i="19"/>
  <c r="B862" i="19"/>
  <c r="B861" i="19"/>
  <c r="B860" i="19"/>
  <c r="B859" i="19"/>
  <c r="B858" i="19"/>
  <c r="B857" i="19"/>
  <c r="B856" i="19"/>
  <c r="B855" i="19"/>
  <c r="B854" i="19"/>
  <c r="B853" i="19"/>
  <c r="B852" i="19"/>
  <c r="B851" i="19"/>
  <c r="B850" i="19"/>
  <c r="B849" i="19"/>
  <c r="B848" i="19"/>
  <c r="B847" i="19"/>
  <c r="B846" i="19"/>
  <c r="B845" i="19"/>
  <c r="B844" i="19"/>
  <c r="B843" i="19"/>
  <c r="B842" i="19"/>
  <c r="B841" i="19"/>
  <c r="B840" i="19"/>
  <c r="B839" i="19"/>
  <c r="B838" i="19"/>
  <c r="B837" i="19"/>
  <c r="B836" i="19"/>
  <c r="B835" i="19"/>
  <c r="B834" i="19"/>
  <c r="B833" i="19"/>
  <c r="B832" i="19"/>
  <c r="B831" i="19"/>
  <c r="B830" i="19"/>
  <c r="B829" i="19"/>
  <c r="B828" i="19"/>
  <c r="B827" i="19"/>
  <c r="B826" i="19"/>
  <c r="B825" i="19"/>
  <c r="B824" i="19"/>
  <c r="B823" i="19"/>
  <c r="B822" i="19"/>
  <c r="B821" i="19"/>
  <c r="B820" i="19"/>
  <c r="B819" i="19"/>
  <c r="B818" i="19"/>
  <c r="B817" i="19"/>
  <c r="B816" i="19"/>
  <c r="B815" i="19"/>
  <c r="B814" i="19"/>
  <c r="B813" i="19"/>
  <c r="B812" i="19"/>
  <c r="B811" i="19"/>
  <c r="B810" i="19"/>
  <c r="B809" i="19"/>
  <c r="B808" i="19"/>
  <c r="B807" i="19"/>
  <c r="B806" i="19"/>
  <c r="B805" i="19"/>
  <c r="B804" i="19"/>
  <c r="B803" i="19"/>
  <c r="B802" i="19"/>
  <c r="B801" i="19"/>
  <c r="B800" i="19"/>
  <c r="B799" i="19"/>
  <c r="B798" i="19"/>
  <c r="B797" i="19"/>
  <c r="B796" i="19"/>
  <c r="B795" i="19"/>
  <c r="B794" i="19"/>
  <c r="B793" i="19"/>
  <c r="B792" i="19"/>
  <c r="B791" i="19"/>
  <c r="B790" i="19"/>
  <c r="B789" i="19"/>
  <c r="B788" i="19"/>
  <c r="B787" i="19"/>
  <c r="B786" i="19"/>
  <c r="B785" i="19"/>
  <c r="B784" i="19"/>
  <c r="B783" i="19"/>
  <c r="B782" i="19"/>
  <c r="B781" i="19"/>
  <c r="B780" i="19"/>
  <c r="B779" i="19"/>
  <c r="B778" i="19"/>
  <c r="B777" i="19"/>
  <c r="B776" i="19"/>
  <c r="B775" i="19"/>
  <c r="B774" i="19"/>
  <c r="B773" i="19"/>
  <c r="B772" i="19"/>
  <c r="B771" i="19"/>
  <c r="B770" i="19"/>
  <c r="B769" i="19"/>
  <c r="B768" i="19"/>
  <c r="B767" i="19"/>
  <c r="B766" i="19"/>
  <c r="B765" i="19"/>
  <c r="B764" i="19"/>
  <c r="B763" i="19"/>
  <c r="B762" i="19"/>
  <c r="B761" i="19"/>
  <c r="B760" i="19"/>
  <c r="B759" i="19"/>
  <c r="B758" i="19"/>
  <c r="B757" i="19"/>
  <c r="B756" i="19"/>
  <c r="B755" i="19"/>
  <c r="B754" i="19"/>
  <c r="B753" i="19"/>
  <c r="B752" i="19"/>
  <c r="B751" i="19"/>
  <c r="B750" i="19"/>
  <c r="B749" i="19"/>
  <c r="B748" i="19"/>
  <c r="B747" i="19"/>
  <c r="B746" i="19"/>
  <c r="B745" i="19"/>
  <c r="B744" i="19"/>
  <c r="B743" i="19"/>
  <c r="B742" i="19"/>
  <c r="B741" i="19"/>
  <c r="B740" i="19"/>
  <c r="B739" i="19"/>
  <c r="B738" i="19"/>
  <c r="B737" i="19"/>
  <c r="B736" i="19"/>
  <c r="B735" i="19"/>
  <c r="B734" i="19"/>
  <c r="B733" i="19"/>
  <c r="B732" i="19"/>
  <c r="B731" i="19"/>
  <c r="B730" i="19"/>
  <c r="B729" i="19"/>
  <c r="B728" i="19"/>
  <c r="B727" i="19"/>
  <c r="B726" i="19"/>
  <c r="B725" i="19"/>
  <c r="B724" i="19"/>
  <c r="B723" i="19"/>
  <c r="B722" i="19"/>
  <c r="B721" i="19"/>
  <c r="B720" i="19"/>
  <c r="B719" i="19"/>
  <c r="B718" i="19"/>
  <c r="B717" i="19"/>
  <c r="B716" i="19"/>
  <c r="B715" i="19"/>
  <c r="B714" i="19"/>
  <c r="B713" i="19"/>
  <c r="B712" i="19"/>
  <c r="B711" i="19"/>
  <c r="B710" i="19"/>
  <c r="B709" i="19"/>
  <c r="B708" i="19"/>
  <c r="B707" i="19"/>
  <c r="B706" i="19"/>
  <c r="B705" i="19"/>
  <c r="B704" i="19"/>
  <c r="B703" i="19"/>
  <c r="B702" i="19"/>
  <c r="B701" i="19"/>
  <c r="B700" i="19"/>
  <c r="B699" i="19"/>
  <c r="B698" i="19"/>
  <c r="B697" i="19"/>
  <c r="B696" i="19"/>
  <c r="B695" i="19"/>
  <c r="B694" i="19"/>
  <c r="B693" i="19"/>
  <c r="B692" i="19"/>
  <c r="B691" i="19"/>
  <c r="B690" i="19"/>
  <c r="B689" i="19"/>
  <c r="B688" i="19"/>
  <c r="B687" i="19"/>
  <c r="B686" i="19"/>
  <c r="B685" i="19"/>
  <c r="B684" i="19"/>
  <c r="B683" i="19"/>
  <c r="B682" i="19"/>
  <c r="B681" i="19"/>
  <c r="B680" i="19"/>
  <c r="B679" i="19"/>
  <c r="B678" i="19"/>
  <c r="B677" i="19"/>
  <c r="B676" i="19"/>
  <c r="B675" i="19"/>
  <c r="B674" i="19"/>
  <c r="B673" i="19"/>
  <c r="B672" i="19"/>
  <c r="B671" i="19"/>
  <c r="B670" i="19"/>
  <c r="B669" i="19"/>
  <c r="B668" i="19"/>
  <c r="B667" i="19"/>
  <c r="B666" i="19"/>
  <c r="B665" i="19"/>
  <c r="B664" i="19"/>
  <c r="B663" i="19"/>
  <c r="B662" i="19"/>
  <c r="B661" i="19"/>
  <c r="B660" i="19"/>
  <c r="B659" i="19"/>
  <c r="B658" i="19"/>
  <c r="B657" i="19"/>
  <c r="B656" i="19"/>
  <c r="B655" i="19"/>
  <c r="B654" i="19"/>
  <c r="B653" i="19"/>
  <c r="B652" i="19"/>
  <c r="B651" i="19"/>
  <c r="B650" i="19"/>
  <c r="B649" i="19"/>
  <c r="B648" i="19"/>
  <c r="B647" i="19"/>
  <c r="B646" i="19"/>
  <c r="B645" i="19"/>
  <c r="B644" i="19"/>
  <c r="B643" i="19"/>
  <c r="B642" i="19"/>
  <c r="B641" i="19"/>
  <c r="B640" i="19"/>
  <c r="B639" i="19"/>
  <c r="B638" i="19"/>
  <c r="B637" i="19"/>
  <c r="B636" i="19"/>
  <c r="B635" i="19"/>
  <c r="B634" i="19"/>
  <c r="B633" i="19"/>
  <c r="B632" i="19"/>
  <c r="B631" i="19"/>
  <c r="B630" i="19"/>
  <c r="B629" i="19"/>
  <c r="B628" i="19"/>
  <c r="B627" i="19"/>
  <c r="B626" i="19"/>
  <c r="B625" i="19"/>
  <c r="B624" i="19"/>
  <c r="B623" i="19"/>
  <c r="B622" i="19"/>
  <c r="B621" i="19"/>
  <c r="B620" i="19"/>
  <c r="B619" i="19"/>
  <c r="B618" i="19"/>
  <c r="B617" i="19"/>
  <c r="B616" i="19"/>
  <c r="B615" i="19"/>
  <c r="B614" i="19"/>
  <c r="B613" i="19"/>
  <c r="B612" i="19"/>
  <c r="B611" i="19"/>
  <c r="B610" i="19"/>
  <c r="B609" i="19"/>
  <c r="B608" i="19"/>
  <c r="B607" i="19"/>
  <c r="B606" i="19"/>
  <c r="B605" i="19"/>
  <c r="B604" i="19"/>
  <c r="B603" i="19"/>
  <c r="B602" i="19"/>
  <c r="B601" i="19"/>
  <c r="B600" i="19"/>
  <c r="B599" i="19"/>
  <c r="B598" i="19"/>
  <c r="B597" i="19"/>
  <c r="B596" i="19"/>
  <c r="B595" i="19"/>
  <c r="B594" i="19"/>
  <c r="B593" i="19"/>
  <c r="B592" i="19"/>
  <c r="B591" i="19"/>
  <c r="B590" i="19"/>
  <c r="B589" i="19"/>
  <c r="B588" i="19"/>
  <c r="B587" i="19"/>
  <c r="B586" i="19"/>
  <c r="B585" i="19"/>
  <c r="B584" i="19"/>
  <c r="B583" i="19"/>
  <c r="B582" i="19"/>
  <c r="B581" i="19"/>
  <c r="B580" i="19"/>
  <c r="B579" i="19"/>
  <c r="B578" i="19"/>
  <c r="B577" i="19"/>
  <c r="B576" i="19"/>
  <c r="B575" i="19"/>
  <c r="B574" i="19"/>
  <c r="B573" i="19"/>
  <c r="B572" i="19"/>
  <c r="B571" i="19"/>
  <c r="B570" i="19"/>
  <c r="B569" i="19"/>
  <c r="B568" i="19"/>
  <c r="B567" i="19"/>
  <c r="B566" i="19"/>
  <c r="B565" i="19"/>
  <c r="B564" i="19"/>
  <c r="B563" i="19"/>
  <c r="B562" i="19"/>
  <c r="B561" i="19"/>
  <c r="B560" i="19"/>
  <c r="B559" i="19"/>
  <c r="B558" i="19"/>
  <c r="B557" i="19"/>
  <c r="B556" i="19"/>
  <c r="B555" i="19"/>
  <c r="B554" i="19"/>
  <c r="B553" i="19"/>
  <c r="B552" i="19"/>
  <c r="B551" i="19"/>
  <c r="B550" i="19"/>
  <c r="B549" i="19"/>
  <c r="B548" i="19"/>
  <c r="B547" i="19"/>
  <c r="B546" i="19"/>
  <c r="B545" i="19"/>
  <c r="B544" i="19"/>
  <c r="B543" i="19"/>
  <c r="B542" i="19"/>
  <c r="B541" i="19"/>
  <c r="B540" i="19"/>
  <c r="B539" i="19"/>
  <c r="B538" i="19"/>
  <c r="B537" i="19"/>
  <c r="B536" i="19"/>
  <c r="B535" i="19"/>
  <c r="B534" i="19"/>
  <c r="B533" i="19"/>
  <c r="B532" i="19"/>
  <c r="B531" i="19"/>
  <c r="B530" i="19"/>
  <c r="B529" i="19"/>
  <c r="B528" i="19"/>
  <c r="B527" i="19"/>
  <c r="B526" i="19"/>
  <c r="B525" i="19"/>
  <c r="B524" i="19"/>
  <c r="B523" i="19"/>
  <c r="B522" i="19"/>
  <c r="B521" i="19"/>
  <c r="B520" i="19"/>
  <c r="B519" i="19"/>
  <c r="B518" i="19"/>
  <c r="B517" i="19"/>
  <c r="B516" i="19"/>
  <c r="B515" i="19"/>
  <c r="B514" i="19"/>
  <c r="B513" i="19"/>
  <c r="B512" i="19"/>
  <c r="B511" i="19"/>
  <c r="B510" i="19"/>
  <c r="B509" i="19"/>
  <c r="B508" i="19"/>
  <c r="B507" i="19"/>
  <c r="B506" i="19"/>
  <c r="B505" i="19"/>
  <c r="B504" i="19"/>
  <c r="B503" i="19"/>
  <c r="B502" i="19"/>
  <c r="B501" i="19"/>
  <c r="B500" i="19"/>
  <c r="B499" i="19"/>
  <c r="B498" i="19"/>
  <c r="B497" i="19"/>
  <c r="B496" i="19"/>
  <c r="B495" i="19"/>
  <c r="B494" i="19"/>
  <c r="B493" i="19"/>
  <c r="B492" i="19"/>
  <c r="B491" i="19"/>
  <c r="B490" i="19"/>
  <c r="B489" i="19"/>
  <c r="B488" i="19"/>
  <c r="B487" i="19"/>
  <c r="B486" i="19"/>
  <c r="B485" i="19"/>
  <c r="B484" i="19"/>
  <c r="B483" i="19"/>
  <c r="B482" i="19"/>
  <c r="B481" i="19"/>
  <c r="B480" i="19"/>
  <c r="B479" i="19"/>
  <c r="B478" i="19"/>
  <c r="B477" i="19"/>
  <c r="B476" i="19"/>
  <c r="B475" i="19"/>
  <c r="B474" i="19"/>
  <c r="B473" i="19"/>
  <c r="B472" i="19"/>
  <c r="B471" i="19"/>
  <c r="B470" i="19"/>
  <c r="B469" i="19"/>
  <c r="B468" i="19"/>
  <c r="B467" i="19"/>
  <c r="B466" i="19"/>
  <c r="B465" i="19"/>
  <c r="B464" i="19"/>
  <c r="B463" i="19"/>
  <c r="B462" i="19"/>
  <c r="B461" i="19"/>
  <c r="B460" i="19"/>
  <c r="B459" i="19"/>
  <c r="B458" i="19"/>
  <c r="B457" i="19"/>
  <c r="B456" i="19"/>
  <c r="B455" i="19"/>
  <c r="B454" i="19"/>
  <c r="B453" i="19"/>
  <c r="B452" i="19"/>
  <c r="B451" i="19"/>
  <c r="B450" i="19"/>
  <c r="B449" i="19"/>
  <c r="B448" i="19"/>
  <c r="B447" i="19"/>
  <c r="B446" i="19"/>
  <c r="B445" i="19"/>
  <c r="B444" i="19"/>
  <c r="B443" i="19"/>
  <c r="B442" i="19"/>
  <c r="B441" i="19"/>
  <c r="B440" i="19"/>
  <c r="B439" i="19"/>
  <c r="B438" i="19"/>
  <c r="B437" i="19"/>
  <c r="B436" i="19"/>
  <c r="B435" i="19"/>
  <c r="B434" i="19"/>
  <c r="B433" i="19"/>
  <c r="B432" i="19"/>
  <c r="B431" i="19"/>
  <c r="B430" i="19"/>
  <c r="B429" i="19"/>
  <c r="B428" i="19"/>
  <c r="B427" i="19"/>
  <c r="B426" i="19"/>
  <c r="B425" i="19"/>
  <c r="B424" i="19"/>
  <c r="B423" i="19"/>
  <c r="B422" i="19"/>
  <c r="B421" i="19"/>
  <c r="B420" i="19"/>
  <c r="B419" i="19"/>
  <c r="B418" i="19"/>
  <c r="B417" i="19"/>
  <c r="B416" i="19"/>
  <c r="B415" i="19"/>
  <c r="B414" i="19"/>
  <c r="B413" i="19"/>
  <c r="B412" i="19"/>
  <c r="B411" i="19"/>
  <c r="B410" i="19"/>
  <c r="B409" i="19"/>
  <c r="B408" i="19"/>
  <c r="B407" i="19"/>
  <c r="B406" i="19"/>
  <c r="B405" i="19"/>
  <c r="B404" i="19"/>
  <c r="B403" i="19"/>
  <c r="B402" i="19"/>
  <c r="B401" i="19"/>
  <c r="B400" i="19"/>
  <c r="B399" i="19"/>
  <c r="B398" i="19"/>
  <c r="B397" i="19"/>
  <c r="B396" i="19"/>
  <c r="B395" i="19"/>
  <c r="B394" i="19"/>
  <c r="B393" i="19"/>
  <c r="B392" i="19"/>
  <c r="B391" i="19"/>
  <c r="B390" i="19"/>
  <c r="B389" i="19"/>
  <c r="B388" i="19"/>
  <c r="B387" i="19"/>
  <c r="B386" i="19"/>
  <c r="B385" i="19"/>
  <c r="B384" i="19"/>
  <c r="B383" i="19"/>
  <c r="B382" i="19"/>
  <c r="B381" i="19"/>
  <c r="B380" i="19"/>
  <c r="B379" i="19"/>
  <c r="B378" i="19"/>
  <c r="B377" i="19"/>
  <c r="B376" i="19"/>
  <c r="B375" i="19"/>
  <c r="B374" i="19"/>
  <c r="B373" i="19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J27" i="19"/>
  <c r="B27" i="19"/>
  <c r="J26" i="19"/>
  <c r="B26" i="19"/>
  <c r="J25" i="19"/>
  <c r="B25" i="19"/>
  <c r="B24" i="19"/>
  <c r="B23" i="19"/>
  <c r="J22" i="19"/>
  <c r="B22" i="19"/>
  <c r="B21" i="19"/>
  <c r="J20" i="19"/>
  <c r="B20" i="19"/>
  <c r="B19" i="19"/>
  <c r="B18" i="19"/>
  <c r="B17" i="19"/>
  <c r="B16" i="19"/>
  <c r="B15" i="19"/>
  <c r="B14" i="19"/>
  <c r="J13" i="19"/>
  <c r="J15" i="19" s="1"/>
  <c r="B13" i="19"/>
  <c r="B12" i="19"/>
  <c r="B11" i="19"/>
  <c r="B10" i="19"/>
  <c r="B9" i="19"/>
  <c r="B8" i="19"/>
  <c r="B7" i="19"/>
  <c r="B6" i="19"/>
  <c r="B5" i="19"/>
  <c r="B4" i="19"/>
  <c r="B2445" i="18"/>
  <c r="B2444" i="18"/>
  <c r="B2443" i="18"/>
  <c r="B2442" i="18"/>
  <c r="B2441" i="18"/>
  <c r="B2440" i="18"/>
  <c r="B2439" i="18"/>
  <c r="B2438" i="18"/>
  <c r="B2437" i="18"/>
  <c r="B2436" i="18"/>
  <c r="B2435" i="18"/>
  <c r="B2434" i="18"/>
  <c r="B2433" i="18"/>
  <c r="B2432" i="18"/>
  <c r="B2431" i="18"/>
  <c r="B2430" i="18"/>
  <c r="B2429" i="18"/>
  <c r="B2428" i="18"/>
  <c r="B2427" i="18"/>
  <c r="B2426" i="18"/>
  <c r="B2425" i="18"/>
  <c r="B2424" i="18"/>
  <c r="B2423" i="18"/>
  <c r="B2422" i="18"/>
  <c r="B2421" i="18"/>
  <c r="B2420" i="18"/>
  <c r="B2419" i="18"/>
  <c r="B2418" i="18"/>
  <c r="B2417" i="18"/>
  <c r="B2416" i="18"/>
  <c r="B2415" i="18"/>
  <c r="B2414" i="18"/>
  <c r="B2413" i="18"/>
  <c r="B2412" i="18"/>
  <c r="B2411" i="18"/>
  <c r="B2410" i="18"/>
  <c r="B2409" i="18"/>
  <c r="B2408" i="18"/>
  <c r="B2407" i="18"/>
  <c r="B2406" i="18"/>
  <c r="B2405" i="18"/>
  <c r="B2404" i="18"/>
  <c r="B2403" i="18"/>
  <c r="B2402" i="18"/>
  <c r="B2401" i="18"/>
  <c r="B2400" i="18"/>
  <c r="B2399" i="18"/>
  <c r="B2398" i="18"/>
  <c r="B2397" i="18"/>
  <c r="B2396" i="18"/>
  <c r="B2395" i="18"/>
  <c r="B2394" i="18"/>
  <c r="B2393" i="18"/>
  <c r="B2392" i="18"/>
  <c r="B2391" i="18"/>
  <c r="B2390" i="18"/>
  <c r="B2389" i="18"/>
  <c r="B2388" i="18"/>
  <c r="B2387" i="18"/>
  <c r="B2386" i="18"/>
  <c r="B2385" i="18"/>
  <c r="B2384" i="18"/>
  <c r="B2383" i="18"/>
  <c r="B2382" i="18"/>
  <c r="B2381" i="18"/>
  <c r="B2380" i="18"/>
  <c r="B2379" i="18"/>
  <c r="B2378" i="18"/>
  <c r="B2377" i="18"/>
  <c r="B2376" i="18"/>
  <c r="B2375" i="18"/>
  <c r="B2374" i="18"/>
  <c r="B2373" i="18"/>
  <c r="B2372" i="18"/>
  <c r="B2371" i="18"/>
  <c r="B2370" i="18"/>
  <c r="B2369" i="18"/>
  <c r="B2368" i="18"/>
  <c r="B2367" i="18"/>
  <c r="B2366" i="18"/>
  <c r="B2365" i="18"/>
  <c r="B2364" i="18"/>
  <c r="B2363" i="18"/>
  <c r="B2362" i="18"/>
  <c r="B2361" i="18"/>
  <c r="B2360" i="18"/>
  <c r="B2359" i="18"/>
  <c r="B2358" i="18"/>
  <c r="B2357" i="18"/>
  <c r="B2356" i="18"/>
  <c r="B2355" i="18"/>
  <c r="B2354" i="18"/>
  <c r="B2353" i="18"/>
  <c r="B2352" i="18"/>
  <c r="B2351" i="18"/>
  <c r="B2350" i="18"/>
  <c r="B2349" i="18"/>
  <c r="B2348" i="18"/>
  <c r="B2347" i="18"/>
  <c r="B2346" i="18"/>
  <c r="B2345" i="18"/>
  <c r="B2344" i="18"/>
  <c r="B2343" i="18"/>
  <c r="B2342" i="18"/>
  <c r="B2341" i="18"/>
  <c r="B2340" i="18"/>
  <c r="B2339" i="18"/>
  <c r="B2338" i="18"/>
  <c r="B2337" i="18"/>
  <c r="B2336" i="18"/>
  <c r="B2335" i="18"/>
  <c r="B2334" i="18"/>
  <c r="B2333" i="18"/>
  <c r="B2332" i="18"/>
  <c r="B2331" i="18"/>
  <c r="B2330" i="18"/>
  <c r="B2329" i="18"/>
  <c r="B2328" i="18"/>
  <c r="B2327" i="18"/>
  <c r="B2326" i="18"/>
  <c r="B2325" i="18"/>
  <c r="B2324" i="18"/>
  <c r="B2323" i="18"/>
  <c r="B2322" i="18"/>
  <c r="B2321" i="18"/>
  <c r="B2320" i="18"/>
  <c r="B2319" i="18"/>
  <c r="B2318" i="18"/>
  <c r="B2317" i="18"/>
  <c r="B2316" i="18"/>
  <c r="B2315" i="18"/>
  <c r="B2314" i="18"/>
  <c r="B2313" i="18"/>
  <c r="B2312" i="18"/>
  <c r="B2311" i="18"/>
  <c r="B2310" i="18"/>
  <c r="B2309" i="18"/>
  <c r="B2308" i="18"/>
  <c r="B2307" i="18"/>
  <c r="B2306" i="18"/>
  <c r="B2305" i="18"/>
  <c r="B2304" i="18"/>
  <c r="B2303" i="18"/>
  <c r="B2302" i="18"/>
  <c r="B2301" i="18"/>
  <c r="B2300" i="18"/>
  <c r="B2299" i="18"/>
  <c r="B2298" i="18"/>
  <c r="B2297" i="18"/>
  <c r="B2296" i="18"/>
  <c r="B2295" i="18"/>
  <c r="B2294" i="18"/>
  <c r="B2293" i="18"/>
  <c r="B2292" i="18"/>
  <c r="B2291" i="18"/>
  <c r="B2290" i="18"/>
  <c r="B2289" i="18"/>
  <c r="B2288" i="18"/>
  <c r="B2287" i="18"/>
  <c r="B2286" i="18"/>
  <c r="B2285" i="18"/>
  <c r="B2284" i="18"/>
  <c r="B2283" i="18"/>
  <c r="B2282" i="18"/>
  <c r="B2281" i="18"/>
  <c r="B2280" i="18"/>
  <c r="B2279" i="18"/>
  <c r="B2278" i="18"/>
  <c r="B2277" i="18"/>
  <c r="B2276" i="18"/>
  <c r="B2275" i="18"/>
  <c r="B2274" i="18"/>
  <c r="B2273" i="18"/>
  <c r="B2272" i="18"/>
  <c r="B2271" i="18"/>
  <c r="B2270" i="18"/>
  <c r="B2269" i="18"/>
  <c r="B2268" i="18"/>
  <c r="B2267" i="18"/>
  <c r="B2266" i="18"/>
  <c r="B2265" i="18"/>
  <c r="B2264" i="18"/>
  <c r="B2263" i="18"/>
  <c r="B2262" i="18"/>
  <c r="B2261" i="18"/>
  <c r="B2260" i="18"/>
  <c r="B2259" i="18"/>
  <c r="B2258" i="18"/>
  <c r="B2257" i="18"/>
  <c r="B2256" i="18"/>
  <c r="B2255" i="18"/>
  <c r="B2254" i="18"/>
  <c r="B2253" i="18"/>
  <c r="B2252" i="18"/>
  <c r="B2251" i="18"/>
  <c r="B2250" i="18"/>
  <c r="B2249" i="18"/>
  <c r="B2248" i="18"/>
  <c r="B2247" i="18"/>
  <c r="B2246" i="18"/>
  <c r="B2245" i="18"/>
  <c r="B2244" i="18"/>
  <c r="B2243" i="18"/>
  <c r="B2242" i="18"/>
  <c r="B2241" i="18"/>
  <c r="B2240" i="18"/>
  <c r="B2239" i="18"/>
  <c r="B2238" i="18"/>
  <c r="B2237" i="18"/>
  <c r="B2236" i="18"/>
  <c r="B2235" i="18"/>
  <c r="B2234" i="18"/>
  <c r="B2233" i="18"/>
  <c r="B2232" i="18"/>
  <c r="B2231" i="18"/>
  <c r="B2230" i="18"/>
  <c r="B2229" i="18"/>
  <c r="B2228" i="18"/>
  <c r="B2227" i="18"/>
  <c r="B2226" i="18"/>
  <c r="B2225" i="18"/>
  <c r="B2224" i="18"/>
  <c r="B2223" i="18"/>
  <c r="B2222" i="18"/>
  <c r="B2221" i="18"/>
  <c r="B2220" i="18"/>
  <c r="B2219" i="18"/>
  <c r="B2218" i="18"/>
  <c r="B2217" i="18"/>
  <c r="B2216" i="18"/>
  <c r="B2215" i="18"/>
  <c r="B2214" i="18"/>
  <c r="B2213" i="18"/>
  <c r="B2212" i="18"/>
  <c r="B2211" i="18"/>
  <c r="B2210" i="18"/>
  <c r="B2209" i="18"/>
  <c r="B2208" i="18"/>
  <c r="B2207" i="18"/>
  <c r="B2206" i="18"/>
  <c r="B2205" i="18"/>
  <c r="B2204" i="18"/>
  <c r="B2203" i="18"/>
  <c r="B2202" i="18"/>
  <c r="B2201" i="18"/>
  <c r="B2200" i="18"/>
  <c r="B2199" i="18"/>
  <c r="B2198" i="18"/>
  <c r="B2197" i="18"/>
  <c r="B2196" i="18"/>
  <c r="B2195" i="18"/>
  <c r="B2194" i="18"/>
  <c r="B2193" i="18"/>
  <c r="B2192" i="18"/>
  <c r="B2191" i="18"/>
  <c r="B2190" i="18"/>
  <c r="B2189" i="18"/>
  <c r="B2188" i="18"/>
  <c r="B2187" i="18"/>
  <c r="B2186" i="18"/>
  <c r="B2185" i="18"/>
  <c r="B2184" i="18"/>
  <c r="B2183" i="18"/>
  <c r="B2182" i="18"/>
  <c r="B2181" i="18"/>
  <c r="B2180" i="18"/>
  <c r="B2179" i="18"/>
  <c r="B2178" i="18"/>
  <c r="B2177" i="18"/>
  <c r="B2176" i="18"/>
  <c r="B2175" i="18"/>
  <c r="B2174" i="18"/>
  <c r="B2173" i="18"/>
  <c r="B2172" i="18"/>
  <c r="B2171" i="18"/>
  <c r="B2170" i="18"/>
  <c r="B2169" i="18"/>
  <c r="B2168" i="18"/>
  <c r="B2167" i="18"/>
  <c r="B2166" i="18"/>
  <c r="B2165" i="18"/>
  <c r="B2164" i="18"/>
  <c r="B2163" i="18"/>
  <c r="B2162" i="18"/>
  <c r="B2161" i="18"/>
  <c r="B2160" i="18"/>
  <c r="B2159" i="18"/>
  <c r="B2158" i="18"/>
  <c r="B2157" i="18"/>
  <c r="B2156" i="18"/>
  <c r="B2155" i="18"/>
  <c r="B2154" i="18"/>
  <c r="B2153" i="18"/>
  <c r="B2152" i="18"/>
  <c r="B2151" i="18"/>
  <c r="B2150" i="18"/>
  <c r="B2149" i="18"/>
  <c r="B2148" i="18"/>
  <c r="B2147" i="18"/>
  <c r="B2146" i="18"/>
  <c r="B2145" i="18"/>
  <c r="B2144" i="18"/>
  <c r="B2143" i="18"/>
  <c r="B2142" i="18"/>
  <c r="B2141" i="18"/>
  <c r="B2140" i="18"/>
  <c r="B2139" i="18"/>
  <c r="B2138" i="18"/>
  <c r="B2137" i="18"/>
  <c r="B2136" i="18"/>
  <c r="B2135" i="18"/>
  <c r="B2134" i="18"/>
  <c r="B2133" i="18"/>
  <c r="B2132" i="18"/>
  <c r="B2131" i="18"/>
  <c r="B2130" i="18"/>
  <c r="B2129" i="18"/>
  <c r="B2128" i="18"/>
  <c r="B2127" i="18"/>
  <c r="B2126" i="18"/>
  <c r="B2125" i="18"/>
  <c r="B2124" i="18"/>
  <c r="B2123" i="18"/>
  <c r="B2122" i="18"/>
  <c r="B2121" i="18"/>
  <c r="B2120" i="18"/>
  <c r="B2119" i="18"/>
  <c r="B2118" i="18"/>
  <c r="B2117" i="18"/>
  <c r="B2116" i="18"/>
  <c r="B2115" i="18"/>
  <c r="B2114" i="18"/>
  <c r="B2113" i="18"/>
  <c r="B2112" i="18"/>
  <c r="B2111" i="18"/>
  <c r="B2110" i="18"/>
  <c r="B2109" i="18"/>
  <c r="B2108" i="18"/>
  <c r="B2107" i="18"/>
  <c r="B2106" i="18"/>
  <c r="B2105" i="18"/>
  <c r="B2104" i="18"/>
  <c r="B2103" i="18"/>
  <c r="B2102" i="18"/>
  <c r="B2101" i="18"/>
  <c r="B2100" i="18"/>
  <c r="B2099" i="18"/>
  <c r="B2098" i="18"/>
  <c r="B2097" i="18"/>
  <c r="B2096" i="18"/>
  <c r="B2095" i="18"/>
  <c r="B2094" i="18"/>
  <c r="B2093" i="18"/>
  <c r="B2092" i="18"/>
  <c r="B2091" i="18"/>
  <c r="B2090" i="18"/>
  <c r="B2089" i="18"/>
  <c r="B2088" i="18"/>
  <c r="B2087" i="18"/>
  <c r="B2086" i="18"/>
  <c r="B2085" i="18"/>
  <c r="B2084" i="18"/>
  <c r="B2083" i="18"/>
  <c r="B2082" i="18"/>
  <c r="B2081" i="18"/>
  <c r="B2080" i="18"/>
  <c r="B2079" i="18"/>
  <c r="B2078" i="18"/>
  <c r="B2077" i="18"/>
  <c r="B2076" i="18"/>
  <c r="B2075" i="18"/>
  <c r="B2074" i="18"/>
  <c r="B2073" i="18"/>
  <c r="B2072" i="18"/>
  <c r="B2071" i="18"/>
  <c r="B2070" i="18"/>
  <c r="B2069" i="18"/>
  <c r="B2068" i="18"/>
  <c r="B2067" i="18"/>
  <c r="B2066" i="18"/>
  <c r="B2065" i="18"/>
  <c r="B2064" i="18"/>
  <c r="B2063" i="18"/>
  <c r="B2062" i="18"/>
  <c r="B2061" i="18"/>
  <c r="B2060" i="18"/>
  <c r="B2059" i="18"/>
  <c r="B2058" i="18"/>
  <c r="B2057" i="18"/>
  <c r="B2056" i="18"/>
  <c r="B2055" i="18"/>
  <c r="B2054" i="18"/>
  <c r="B2053" i="18"/>
  <c r="B2052" i="18"/>
  <c r="B2051" i="18"/>
  <c r="B2050" i="18"/>
  <c r="B2049" i="18"/>
  <c r="B2048" i="18"/>
  <c r="B2047" i="18"/>
  <c r="B2046" i="18"/>
  <c r="B2045" i="18"/>
  <c r="B2044" i="18"/>
  <c r="B2043" i="18"/>
  <c r="B2042" i="18"/>
  <c r="B2041" i="18"/>
  <c r="B2040" i="18"/>
  <c r="B2039" i="18"/>
  <c r="B2038" i="18"/>
  <c r="B2037" i="18"/>
  <c r="B2036" i="18"/>
  <c r="B2035" i="18"/>
  <c r="B2034" i="18"/>
  <c r="B2033" i="18"/>
  <c r="B2032" i="18"/>
  <c r="B2031" i="18"/>
  <c r="B2030" i="18"/>
  <c r="B2029" i="18"/>
  <c r="B2028" i="18"/>
  <c r="B2027" i="18"/>
  <c r="B2026" i="18"/>
  <c r="B2025" i="18"/>
  <c r="B2024" i="18"/>
  <c r="B2023" i="18"/>
  <c r="B2022" i="18"/>
  <c r="B2021" i="18"/>
  <c r="B2020" i="18"/>
  <c r="B2019" i="18"/>
  <c r="B2018" i="18"/>
  <c r="B2017" i="18"/>
  <c r="B2016" i="18"/>
  <c r="B2015" i="18"/>
  <c r="B2014" i="18"/>
  <c r="B2013" i="18"/>
  <c r="B2012" i="18"/>
  <c r="B2011" i="18"/>
  <c r="B2010" i="18"/>
  <c r="B2009" i="18"/>
  <c r="B2008" i="18"/>
  <c r="B2007" i="18"/>
  <c r="B2006" i="18"/>
  <c r="B2005" i="18"/>
  <c r="B2004" i="18"/>
  <c r="B2003" i="18"/>
  <c r="B2002" i="18"/>
  <c r="B2001" i="18"/>
  <c r="B2000" i="18"/>
  <c r="B1999" i="18"/>
  <c r="B1998" i="18"/>
  <c r="B1997" i="18"/>
  <c r="B1996" i="18"/>
  <c r="B1995" i="18"/>
  <c r="B1994" i="18"/>
  <c r="B1993" i="18"/>
  <c r="B1992" i="18"/>
  <c r="B1991" i="18"/>
  <c r="B1990" i="18"/>
  <c r="B1989" i="18"/>
  <c r="B1988" i="18"/>
  <c r="B1987" i="18"/>
  <c r="B1986" i="18"/>
  <c r="B1985" i="18"/>
  <c r="B1984" i="18"/>
  <c r="B1983" i="18"/>
  <c r="B1982" i="18"/>
  <c r="B1981" i="18"/>
  <c r="B1980" i="18"/>
  <c r="B1979" i="18"/>
  <c r="B1978" i="18"/>
  <c r="B1977" i="18"/>
  <c r="B1976" i="18"/>
  <c r="B1975" i="18"/>
  <c r="B1974" i="18"/>
  <c r="B1973" i="18"/>
  <c r="B1972" i="18"/>
  <c r="B1971" i="18"/>
  <c r="B1970" i="18"/>
  <c r="B1969" i="18"/>
  <c r="B1968" i="18"/>
  <c r="B1967" i="18"/>
  <c r="B1966" i="18"/>
  <c r="B1965" i="18"/>
  <c r="B1964" i="18"/>
  <c r="B1963" i="18"/>
  <c r="B1962" i="18"/>
  <c r="B1961" i="18"/>
  <c r="B1960" i="18"/>
  <c r="B1959" i="18"/>
  <c r="B1958" i="18"/>
  <c r="B1957" i="18"/>
  <c r="B1956" i="18"/>
  <c r="B1955" i="18"/>
  <c r="B1954" i="18"/>
  <c r="B1953" i="18"/>
  <c r="B1952" i="18"/>
  <c r="B1951" i="18"/>
  <c r="B1950" i="18"/>
  <c r="B1949" i="18"/>
  <c r="B1948" i="18"/>
  <c r="B1947" i="18"/>
  <c r="B1946" i="18"/>
  <c r="B1945" i="18"/>
  <c r="B1944" i="18"/>
  <c r="B1943" i="18"/>
  <c r="B1942" i="18"/>
  <c r="B1941" i="18"/>
  <c r="B1940" i="18"/>
  <c r="B1939" i="18"/>
  <c r="B1938" i="18"/>
  <c r="B1937" i="18"/>
  <c r="B1936" i="18"/>
  <c r="B1935" i="18"/>
  <c r="B1934" i="18"/>
  <c r="B1933" i="18"/>
  <c r="B1932" i="18"/>
  <c r="B1931" i="18"/>
  <c r="B1930" i="18"/>
  <c r="B1929" i="18"/>
  <c r="B1928" i="18"/>
  <c r="B1927" i="18"/>
  <c r="B1926" i="18"/>
  <c r="B1925" i="18"/>
  <c r="B1924" i="18"/>
  <c r="B1923" i="18"/>
  <c r="B1922" i="18"/>
  <c r="B1921" i="18"/>
  <c r="B1920" i="18"/>
  <c r="B1919" i="18"/>
  <c r="B1918" i="18"/>
  <c r="B1917" i="18"/>
  <c r="B1916" i="18"/>
  <c r="B1915" i="18"/>
  <c r="B1914" i="18"/>
  <c r="B1913" i="18"/>
  <c r="B1912" i="18"/>
  <c r="B1911" i="18"/>
  <c r="B1910" i="18"/>
  <c r="B1909" i="18"/>
  <c r="B1908" i="18"/>
  <c r="B1907" i="18"/>
  <c r="B1906" i="18"/>
  <c r="B1905" i="18"/>
  <c r="B1904" i="18"/>
  <c r="B1903" i="18"/>
  <c r="B1902" i="18"/>
  <c r="B1901" i="18"/>
  <c r="B1900" i="18"/>
  <c r="B1899" i="18"/>
  <c r="B1898" i="18"/>
  <c r="B1897" i="18"/>
  <c r="B1896" i="18"/>
  <c r="B1895" i="18"/>
  <c r="B1894" i="18"/>
  <c r="B1893" i="18"/>
  <c r="B1892" i="18"/>
  <c r="B1891" i="18"/>
  <c r="B1890" i="18"/>
  <c r="B1889" i="18"/>
  <c r="B1888" i="18"/>
  <c r="B1887" i="18"/>
  <c r="B1886" i="18"/>
  <c r="B1885" i="18"/>
  <c r="B1884" i="18"/>
  <c r="B1883" i="18"/>
  <c r="B1882" i="18"/>
  <c r="B1881" i="18"/>
  <c r="B1880" i="18"/>
  <c r="B1879" i="18"/>
  <c r="B1878" i="18"/>
  <c r="B1877" i="18"/>
  <c r="B1876" i="18"/>
  <c r="B1875" i="18"/>
  <c r="B1874" i="18"/>
  <c r="B1873" i="18"/>
  <c r="B1872" i="18"/>
  <c r="B1871" i="18"/>
  <c r="B1870" i="18"/>
  <c r="B1869" i="18"/>
  <c r="B1868" i="18"/>
  <c r="B1867" i="18"/>
  <c r="B1866" i="18"/>
  <c r="B1865" i="18"/>
  <c r="B1864" i="18"/>
  <c r="B1863" i="18"/>
  <c r="B1862" i="18"/>
  <c r="B1861" i="18"/>
  <c r="B1860" i="18"/>
  <c r="B1859" i="18"/>
  <c r="B1858" i="18"/>
  <c r="B1857" i="18"/>
  <c r="B1856" i="18"/>
  <c r="B1855" i="18"/>
  <c r="B1854" i="18"/>
  <c r="B1853" i="18"/>
  <c r="B1852" i="18"/>
  <c r="B1851" i="18"/>
  <c r="B1850" i="18"/>
  <c r="B1849" i="18"/>
  <c r="B1848" i="18"/>
  <c r="B1847" i="18"/>
  <c r="B1846" i="18"/>
  <c r="B1845" i="18"/>
  <c r="B1844" i="18"/>
  <c r="B1843" i="18"/>
  <c r="B1842" i="18"/>
  <c r="B1841" i="18"/>
  <c r="B1840" i="18"/>
  <c r="B1839" i="18"/>
  <c r="B1838" i="18"/>
  <c r="B1837" i="18"/>
  <c r="B1836" i="18"/>
  <c r="B1835" i="18"/>
  <c r="B1834" i="18"/>
  <c r="B1833" i="18"/>
  <c r="B1832" i="18"/>
  <c r="B1831" i="18"/>
  <c r="B1830" i="18"/>
  <c r="B1829" i="18"/>
  <c r="B1828" i="18"/>
  <c r="B1827" i="18"/>
  <c r="B1826" i="18"/>
  <c r="B1825" i="18"/>
  <c r="B1824" i="18"/>
  <c r="B1823" i="18"/>
  <c r="B1822" i="18"/>
  <c r="B1821" i="18"/>
  <c r="B1820" i="18"/>
  <c r="B1819" i="18"/>
  <c r="B1818" i="18"/>
  <c r="B1817" i="18"/>
  <c r="B1816" i="18"/>
  <c r="B1815" i="18"/>
  <c r="B1814" i="18"/>
  <c r="B1813" i="18"/>
  <c r="B1812" i="18"/>
  <c r="B1811" i="18"/>
  <c r="B1810" i="18"/>
  <c r="B1809" i="18"/>
  <c r="B1808" i="18"/>
  <c r="B1807" i="18"/>
  <c r="B1806" i="18"/>
  <c r="B1805" i="18"/>
  <c r="B1804" i="18"/>
  <c r="B1803" i="18"/>
  <c r="B1802" i="18"/>
  <c r="B1801" i="18"/>
  <c r="B1800" i="18"/>
  <c r="B1799" i="18"/>
  <c r="B1798" i="18"/>
  <c r="B1797" i="18"/>
  <c r="B1796" i="18"/>
  <c r="B1795" i="18"/>
  <c r="B1794" i="18"/>
  <c r="B1793" i="18"/>
  <c r="B1792" i="18"/>
  <c r="B1791" i="18"/>
  <c r="B1790" i="18"/>
  <c r="B1789" i="18"/>
  <c r="B1788" i="18"/>
  <c r="B1787" i="18"/>
  <c r="B1786" i="18"/>
  <c r="B1785" i="18"/>
  <c r="B1784" i="18"/>
  <c r="B1783" i="18"/>
  <c r="B1782" i="18"/>
  <c r="B1781" i="18"/>
  <c r="B1780" i="18"/>
  <c r="B1779" i="18"/>
  <c r="B1778" i="18"/>
  <c r="B1777" i="18"/>
  <c r="B1776" i="18"/>
  <c r="B1775" i="18"/>
  <c r="B1774" i="18"/>
  <c r="B1773" i="18"/>
  <c r="B1772" i="18"/>
  <c r="B1771" i="18"/>
  <c r="B1770" i="18"/>
  <c r="B1769" i="18"/>
  <c r="B1768" i="18"/>
  <c r="B1767" i="18"/>
  <c r="B1766" i="18"/>
  <c r="B1765" i="18"/>
  <c r="B1764" i="18"/>
  <c r="B1763" i="18"/>
  <c r="B1762" i="18"/>
  <c r="B1761" i="18"/>
  <c r="B1760" i="18"/>
  <c r="B1759" i="18"/>
  <c r="B1758" i="18"/>
  <c r="B1757" i="18"/>
  <c r="B1756" i="18"/>
  <c r="B1755" i="18"/>
  <c r="B1754" i="18"/>
  <c r="B1753" i="18"/>
  <c r="B1752" i="18"/>
  <c r="B1751" i="18"/>
  <c r="B1750" i="18"/>
  <c r="B1749" i="18"/>
  <c r="B1748" i="18"/>
  <c r="B1747" i="18"/>
  <c r="B1746" i="18"/>
  <c r="B1745" i="18"/>
  <c r="B1744" i="18"/>
  <c r="B1743" i="18"/>
  <c r="B1742" i="18"/>
  <c r="B1741" i="18"/>
  <c r="B1740" i="18"/>
  <c r="B1739" i="18"/>
  <c r="B1738" i="18"/>
  <c r="B1737" i="18"/>
  <c r="B1736" i="18"/>
  <c r="B1735" i="18"/>
  <c r="B1734" i="18"/>
  <c r="B1733" i="18"/>
  <c r="B1732" i="18"/>
  <c r="B1731" i="18"/>
  <c r="B1730" i="18"/>
  <c r="B1729" i="18"/>
  <c r="B1728" i="18"/>
  <c r="B1727" i="18"/>
  <c r="B1726" i="18"/>
  <c r="B1725" i="18"/>
  <c r="B1724" i="18"/>
  <c r="B1723" i="18"/>
  <c r="B1722" i="18"/>
  <c r="B1721" i="18"/>
  <c r="B1720" i="18"/>
  <c r="B1719" i="18"/>
  <c r="B1718" i="18"/>
  <c r="B1717" i="18"/>
  <c r="B1716" i="18"/>
  <c r="B1715" i="18"/>
  <c r="B1714" i="18"/>
  <c r="B1713" i="18"/>
  <c r="B1712" i="18"/>
  <c r="B1711" i="18"/>
  <c r="B1710" i="18"/>
  <c r="B1709" i="18"/>
  <c r="B1708" i="18"/>
  <c r="B1707" i="18"/>
  <c r="B1706" i="18"/>
  <c r="B1705" i="18"/>
  <c r="B1704" i="18"/>
  <c r="B1703" i="18"/>
  <c r="B1702" i="18"/>
  <c r="B1701" i="18"/>
  <c r="B1700" i="18"/>
  <c r="B1699" i="18"/>
  <c r="B1698" i="18"/>
  <c r="B1697" i="18"/>
  <c r="B1696" i="18"/>
  <c r="B1695" i="18"/>
  <c r="B1694" i="18"/>
  <c r="B1693" i="18"/>
  <c r="B1692" i="18"/>
  <c r="B1691" i="18"/>
  <c r="B1690" i="18"/>
  <c r="B1689" i="18"/>
  <c r="B1688" i="18"/>
  <c r="B1687" i="18"/>
  <c r="B1686" i="18"/>
  <c r="B1685" i="18"/>
  <c r="B1684" i="18"/>
  <c r="B1683" i="18"/>
  <c r="B1682" i="18"/>
  <c r="B1681" i="18"/>
  <c r="B1680" i="18"/>
  <c r="B1679" i="18"/>
  <c r="B1678" i="18"/>
  <c r="B1677" i="18"/>
  <c r="B1676" i="18"/>
  <c r="B1675" i="18"/>
  <c r="B1674" i="18"/>
  <c r="B1673" i="18"/>
  <c r="B1672" i="18"/>
  <c r="B1671" i="18"/>
  <c r="B1670" i="18"/>
  <c r="B1669" i="18"/>
  <c r="B1668" i="18"/>
  <c r="B1667" i="18"/>
  <c r="B1666" i="18"/>
  <c r="B1665" i="18"/>
  <c r="B1664" i="18"/>
  <c r="B1663" i="18"/>
  <c r="B1662" i="18"/>
  <c r="B1661" i="18"/>
  <c r="B1660" i="18"/>
  <c r="B1659" i="18"/>
  <c r="B1658" i="18"/>
  <c r="B1657" i="18"/>
  <c r="B1656" i="18"/>
  <c r="B1655" i="18"/>
  <c r="B1654" i="18"/>
  <c r="B1653" i="18"/>
  <c r="B1652" i="18"/>
  <c r="B1651" i="18"/>
  <c r="B1650" i="18"/>
  <c r="B1649" i="18"/>
  <c r="B1648" i="18"/>
  <c r="B1647" i="18"/>
  <c r="B1646" i="18"/>
  <c r="B1645" i="18"/>
  <c r="B1644" i="18"/>
  <c r="B1643" i="18"/>
  <c r="B1642" i="18"/>
  <c r="B1641" i="18"/>
  <c r="B1640" i="18"/>
  <c r="B1639" i="18"/>
  <c r="B1638" i="18"/>
  <c r="B1637" i="18"/>
  <c r="B1636" i="18"/>
  <c r="B1635" i="18"/>
  <c r="B1634" i="18"/>
  <c r="B1633" i="18"/>
  <c r="B1632" i="18"/>
  <c r="B1631" i="18"/>
  <c r="B1630" i="18"/>
  <c r="B1629" i="18"/>
  <c r="B1628" i="18"/>
  <c r="B1627" i="18"/>
  <c r="B1626" i="18"/>
  <c r="B1625" i="18"/>
  <c r="B1624" i="18"/>
  <c r="B1623" i="18"/>
  <c r="B1622" i="18"/>
  <c r="B1621" i="18"/>
  <c r="B1620" i="18"/>
  <c r="B1619" i="18"/>
  <c r="B1618" i="18"/>
  <c r="B1617" i="18"/>
  <c r="B1616" i="18"/>
  <c r="B1615" i="18"/>
  <c r="B1614" i="18"/>
  <c r="B1613" i="18"/>
  <c r="B1612" i="18"/>
  <c r="B1611" i="18"/>
  <c r="B1610" i="18"/>
  <c r="B1609" i="18"/>
  <c r="B1608" i="18"/>
  <c r="B1607" i="18"/>
  <c r="B1606" i="18"/>
  <c r="B1605" i="18"/>
  <c r="B1604" i="18"/>
  <c r="B1603" i="18"/>
  <c r="B1602" i="18"/>
  <c r="B1601" i="18"/>
  <c r="B1600" i="18"/>
  <c r="B1599" i="18"/>
  <c r="B1598" i="18"/>
  <c r="B1597" i="18"/>
  <c r="B1596" i="18"/>
  <c r="B1595" i="18"/>
  <c r="B1594" i="18"/>
  <c r="B1593" i="18"/>
  <c r="B1592" i="18"/>
  <c r="B1591" i="18"/>
  <c r="B1590" i="18"/>
  <c r="B1589" i="18"/>
  <c r="B1588" i="18"/>
  <c r="B1587" i="18"/>
  <c r="B1586" i="18"/>
  <c r="B1585" i="18"/>
  <c r="B1584" i="18"/>
  <c r="B1583" i="18"/>
  <c r="B1582" i="18"/>
  <c r="B1581" i="18"/>
  <c r="B1580" i="18"/>
  <c r="B1579" i="18"/>
  <c r="B1578" i="18"/>
  <c r="B1577" i="18"/>
  <c r="B1576" i="18"/>
  <c r="B1575" i="18"/>
  <c r="B1574" i="18"/>
  <c r="B1573" i="18"/>
  <c r="B1572" i="18"/>
  <c r="B1571" i="18"/>
  <c r="B1570" i="18"/>
  <c r="B1569" i="18"/>
  <c r="B1568" i="18"/>
  <c r="B1567" i="18"/>
  <c r="B1566" i="18"/>
  <c r="B1565" i="18"/>
  <c r="B1564" i="18"/>
  <c r="B1563" i="18"/>
  <c r="B1562" i="18"/>
  <c r="B1561" i="18"/>
  <c r="B1560" i="18"/>
  <c r="B1559" i="18"/>
  <c r="B1558" i="18"/>
  <c r="B1557" i="18"/>
  <c r="B1556" i="18"/>
  <c r="B1555" i="18"/>
  <c r="B1554" i="18"/>
  <c r="B1553" i="18"/>
  <c r="B1552" i="18"/>
  <c r="B1551" i="18"/>
  <c r="B1550" i="18"/>
  <c r="B1549" i="18"/>
  <c r="B1548" i="18"/>
  <c r="B1547" i="18"/>
  <c r="B1546" i="18"/>
  <c r="B1545" i="18"/>
  <c r="B1544" i="18"/>
  <c r="B1543" i="18"/>
  <c r="B1542" i="18"/>
  <c r="B1541" i="18"/>
  <c r="B1540" i="18"/>
  <c r="B1539" i="18"/>
  <c r="B1538" i="18"/>
  <c r="B1537" i="18"/>
  <c r="B1536" i="18"/>
  <c r="B1535" i="18"/>
  <c r="B1534" i="18"/>
  <c r="B1533" i="18"/>
  <c r="B1532" i="18"/>
  <c r="B1531" i="18"/>
  <c r="B1530" i="18"/>
  <c r="B1529" i="18"/>
  <c r="B1528" i="18"/>
  <c r="B1527" i="18"/>
  <c r="B1526" i="18"/>
  <c r="B1525" i="18"/>
  <c r="B1524" i="18"/>
  <c r="B1523" i="18"/>
  <c r="B1522" i="18"/>
  <c r="B1521" i="18"/>
  <c r="B1520" i="18"/>
  <c r="B1519" i="18"/>
  <c r="B1518" i="18"/>
  <c r="B1517" i="18"/>
  <c r="B1516" i="18"/>
  <c r="B1515" i="18"/>
  <c r="B1514" i="18"/>
  <c r="B1513" i="18"/>
  <c r="B1512" i="18"/>
  <c r="B1511" i="18"/>
  <c r="B1510" i="18"/>
  <c r="B1509" i="18"/>
  <c r="B1508" i="18"/>
  <c r="B1507" i="18"/>
  <c r="B1506" i="18"/>
  <c r="B1505" i="18"/>
  <c r="B1504" i="18"/>
  <c r="B1503" i="18"/>
  <c r="B1502" i="18"/>
  <c r="B1501" i="18"/>
  <c r="B1500" i="18"/>
  <c r="B1499" i="18"/>
  <c r="B1498" i="18"/>
  <c r="B1497" i="18"/>
  <c r="B1496" i="18"/>
  <c r="B1495" i="18"/>
  <c r="B1494" i="18"/>
  <c r="B1493" i="18"/>
  <c r="B1492" i="18"/>
  <c r="B1491" i="18"/>
  <c r="B1490" i="18"/>
  <c r="B1489" i="18"/>
  <c r="B1488" i="18"/>
  <c r="B1487" i="18"/>
  <c r="B1486" i="18"/>
  <c r="B1485" i="18"/>
  <c r="B1484" i="18"/>
  <c r="B1483" i="18"/>
  <c r="B1482" i="18"/>
  <c r="B1481" i="18"/>
  <c r="B1480" i="18"/>
  <c r="B1479" i="18"/>
  <c r="B1478" i="18"/>
  <c r="B1477" i="18"/>
  <c r="B1476" i="18"/>
  <c r="B1475" i="18"/>
  <c r="B1474" i="18"/>
  <c r="B1473" i="18"/>
  <c r="B1472" i="18"/>
  <c r="B1471" i="18"/>
  <c r="B1470" i="18"/>
  <c r="B1469" i="18"/>
  <c r="B1468" i="18"/>
  <c r="B1467" i="18"/>
  <c r="B1466" i="18"/>
  <c r="B1465" i="18"/>
  <c r="B1464" i="18"/>
  <c r="B1463" i="18"/>
  <c r="B1462" i="18"/>
  <c r="B1461" i="18"/>
  <c r="B1460" i="18"/>
  <c r="B1459" i="18"/>
  <c r="B1458" i="18"/>
  <c r="B1457" i="18"/>
  <c r="B1456" i="18"/>
  <c r="B1455" i="18"/>
  <c r="B1454" i="18"/>
  <c r="B1453" i="18"/>
  <c r="B1452" i="18"/>
  <c r="B1451" i="18"/>
  <c r="B1450" i="18"/>
  <c r="B1449" i="18"/>
  <c r="B1448" i="18"/>
  <c r="B1447" i="18"/>
  <c r="B1446" i="18"/>
  <c r="B1445" i="18"/>
  <c r="B1444" i="18"/>
  <c r="B1443" i="18"/>
  <c r="B1442" i="18"/>
  <c r="B1441" i="18"/>
  <c r="B1440" i="18"/>
  <c r="B1439" i="18"/>
  <c r="B1438" i="18"/>
  <c r="B1437" i="18"/>
  <c r="B1436" i="18"/>
  <c r="B1435" i="18"/>
  <c r="B1434" i="18"/>
  <c r="B1433" i="18"/>
  <c r="B1432" i="18"/>
  <c r="B1431" i="18"/>
  <c r="B1430" i="18"/>
  <c r="B1429" i="18"/>
  <c r="B1428" i="18"/>
  <c r="B1427" i="18"/>
  <c r="B1426" i="18"/>
  <c r="B1425" i="18"/>
  <c r="B1424" i="18"/>
  <c r="B1423" i="18"/>
  <c r="B1422" i="18"/>
  <c r="B1421" i="18"/>
  <c r="B1420" i="18"/>
  <c r="B1419" i="18"/>
  <c r="B1418" i="18"/>
  <c r="B1417" i="18"/>
  <c r="B1416" i="18"/>
  <c r="B1415" i="18"/>
  <c r="B1414" i="18"/>
  <c r="B1413" i="18"/>
  <c r="B1412" i="18"/>
  <c r="B1411" i="18"/>
  <c r="B1410" i="18"/>
  <c r="B1409" i="18"/>
  <c r="B1408" i="18"/>
  <c r="B1407" i="18"/>
  <c r="B1406" i="18"/>
  <c r="B1405" i="18"/>
  <c r="B1404" i="18"/>
  <c r="B1403" i="18"/>
  <c r="B1402" i="18"/>
  <c r="B1401" i="18"/>
  <c r="B1400" i="18"/>
  <c r="B1399" i="18"/>
  <c r="B1398" i="18"/>
  <c r="B1397" i="18"/>
  <c r="B1396" i="18"/>
  <c r="B1395" i="18"/>
  <c r="B1394" i="18"/>
  <c r="B1393" i="18"/>
  <c r="B1392" i="18"/>
  <c r="B1391" i="18"/>
  <c r="B1390" i="18"/>
  <c r="B1389" i="18"/>
  <c r="B1388" i="18"/>
  <c r="B1387" i="18"/>
  <c r="B1386" i="18"/>
  <c r="B1385" i="18"/>
  <c r="B1384" i="18"/>
  <c r="B1383" i="18"/>
  <c r="B1382" i="18"/>
  <c r="B1381" i="18"/>
  <c r="B1380" i="18"/>
  <c r="B1379" i="18"/>
  <c r="B1378" i="18"/>
  <c r="B1377" i="18"/>
  <c r="B1376" i="18"/>
  <c r="B1375" i="18"/>
  <c r="B1374" i="18"/>
  <c r="B1373" i="18"/>
  <c r="B1372" i="18"/>
  <c r="B1371" i="18"/>
  <c r="B1370" i="18"/>
  <c r="B1369" i="18"/>
  <c r="B1368" i="18"/>
  <c r="B1367" i="18"/>
  <c r="B1366" i="18"/>
  <c r="B1365" i="18"/>
  <c r="B1364" i="18"/>
  <c r="B1363" i="18"/>
  <c r="B1362" i="18"/>
  <c r="B1361" i="18"/>
  <c r="B1360" i="18"/>
  <c r="B1359" i="18"/>
  <c r="B1358" i="18"/>
  <c r="B1357" i="18"/>
  <c r="B1356" i="18"/>
  <c r="B1355" i="18"/>
  <c r="B1354" i="18"/>
  <c r="B1353" i="18"/>
  <c r="B1352" i="18"/>
  <c r="B1351" i="18"/>
  <c r="B1350" i="18"/>
  <c r="B1349" i="18"/>
  <c r="B1348" i="18"/>
  <c r="B1347" i="18"/>
  <c r="B1346" i="18"/>
  <c r="B1345" i="18"/>
  <c r="B1344" i="18"/>
  <c r="B1343" i="18"/>
  <c r="B1342" i="18"/>
  <c r="B1341" i="18"/>
  <c r="B1340" i="18"/>
  <c r="B1339" i="18"/>
  <c r="B1338" i="18"/>
  <c r="B1337" i="18"/>
  <c r="B1336" i="18"/>
  <c r="B1335" i="18"/>
  <c r="B1334" i="18"/>
  <c r="B1333" i="18"/>
  <c r="B1332" i="18"/>
  <c r="B1331" i="18"/>
  <c r="B1330" i="18"/>
  <c r="B1329" i="18"/>
  <c r="B1328" i="18"/>
  <c r="B1327" i="18"/>
  <c r="B1326" i="18"/>
  <c r="B1325" i="18"/>
  <c r="B1324" i="18"/>
  <c r="B1323" i="18"/>
  <c r="B1322" i="18"/>
  <c r="B1321" i="18"/>
  <c r="B1320" i="18"/>
  <c r="B1319" i="18"/>
  <c r="B1318" i="18"/>
  <c r="B1317" i="18"/>
  <c r="B1316" i="18"/>
  <c r="B1315" i="18"/>
  <c r="B1314" i="18"/>
  <c r="B1313" i="18"/>
  <c r="B1312" i="18"/>
  <c r="B1311" i="18"/>
  <c r="B1310" i="18"/>
  <c r="B1309" i="18"/>
  <c r="B1308" i="18"/>
  <c r="B1307" i="18"/>
  <c r="B1306" i="18"/>
  <c r="B1305" i="18"/>
  <c r="B1304" i="18"/>
  <c r="B1303" i="18"/>
  <c r="B1302" i="18"/>
  <c r="B1301" i="18"/>
  <c r="B1300" i="18"/>
  <c r="B1299" i="18"/>
  <c r="B1298" i="18"/>
  <c r="B1297" i="18"/>
  <c r="B1296" i="18"/>
  <c r="B1295" i="18"/>
  <c r="B1294" i="18"/>
  <c r="B1293" i="18"/>
  <c r="B1292" i="18"/>
  <c r="B1291" i="18"/>
  <c r="B1290" i="18"/>
  <c r="B1289" i="18"/>
  <c r="B1288" i="18"/>
  <c r="B1287" i="18"/>
  <c r="B1286" i="18"/>
  <c r="B1285" i="18"/>
  <c r="B1284" i="18"/>
  <c r="B1283" i="18"/>
  <c r="B1282" i="18"/>
  <c r="B1281" i="18"/>
  <c r="B1280" i="18"/>
  <c r="B1279" i="18"/>
  <c r="B1278" i="18"/>
  <c r="B1277" i="18"/>
  <c r="B1276" i="18"/>
  <c r="B1275" i="18"/>
  <c r="B1274" i="18"/>
  <c r="B1273" i="18"/>
  <c r="B1272" i="18"/>
  <c r="B1271" i="18"/>
  <c r="B1270" i="18"/>
  <c r="B1269" i="18"/>
  <c r="B1268" i="18"/>
  <c r="B1267" i="18"/>
  <c r="B1266" i="18"/>
  <c r="B1265" i="18"/>
  <c r="B1264" i="18"/>
  <c r="B1263" i="18"/>
  <c r="B1262" i="18"/>
  <c r="B1261" i="18"/>
  <c r="B1260" i="18"/>
  <c r="B1259" i="18"/>
  <c r="B1258" i="18"/>
  <c r="B1257" i="18"/>
  <c r="B1256" i="18"/>
  <c r="B1255" i="18"/>
  <c r="B1254" i="18"/>
  <c r="B1253" i="18"/>
  <c r="B1252" i="18"/>
  <c r="B1251" i="18"/>
  <c r="B1250" i="18"/>
  <c r="B1249" i="18"/>
  <c r="B1248" i="18"/>
  <c r="B1247" i="18"/>
  <c r="B1246" i="18"/>
  <c r="B1245" i="18"/>
  <c r="B1244" i="18"/>
  <c r="B1243" i="18"/>
  <c r="B1242" i="18"/>
  <c r="B1241" i="18"/>
  <c r="B1240" i="18"/>
  <c r="B1239" i="18"/>
  <c r="B1238" i="18"/>
  <c r="B1237" i="18"/>
  <c r="B1236" i="18"/>
  <c r="B1235" i="18"/>
  <c r="B1234" i="18"/>
  <c r="B1233" i="18"/>
  <c r="B1232" i="18"/>
  <c r="B1231" i="18"/>
  <c r="B1230" i="18"/>
  <c r="B1229" i="18"/>
  <c r="B1228" i="18"/>
  <c r="B1227" i="18"/>
  <c r="B1226" i="18"/>
  <c r="B1225" i="18"/>
  <c r="B1224" i="18"/>
  <c r="B1223" i="18"/>
  <c r="B1222" i="18"/>
  <c r="B1221" i="18"/>
  <c r="B1220" i="18"/>
  <c r="B1219" i="18"/>
  <c r="B1218" i="18"/>
  <c r="B1217" i="18"/>
  <c r="B1216" i="18"/>
  <c r="B1215" i="18"/>
  <c r="B1214" i="18"/>
  <c r="B1213" i="18"/>
  <c r="B1212" i="18"/>
  <c r="B1211" i="18"/>
  <c r="B1210" i="18"/>
  <c r="B1209" i="18"/>
  <c r="B1208" i="18"/>
  <c r="B1207" i="18"/>
  <c r="B1206" i="18"/>
  <c r="B1205" i="18"/>
  <c r="B1204" i="18"/>
  <c r="B1203" i="18"/>
  <c r="B1202" i="18"/>
  <c r="B1201" i="18"/>
  <c r="B1200" i="18"/>
  <c r="B1199" i="18"/>
  <c r="B1198" i="18"/>
  <c r="B1197" i="18"/>
  <c r="B1196" i="18"/>
  <c r="B1195" i="18"/>
  <c r="B1194" i="18"/>
  <c r="B1193" i="18"/>
  <c r="B1192" i="18"/>
  <c r="B1191" i="18"/>
  <c r="B1190" i="18"/>
  <c r="B1189" i="18"/>
  <c r="B1188" i="18"/>
  <c r="B1187" i="18"/>
  <c r="B1186" i="18"/>
  <c r="B1185" i="18"/>
  <c r="B1184" i="18"/>
  <c r="B1183" i="18"/>
  <c r="B1182" i="18"/>
  <c r="B1181" i="18"/>
  <c r="B1180" i="18"/>
  <c r="B1179" i="18"/>
  <c r="B1178" i="18"/>
  <c r="B1177" i="18"/>
  <c r="B1176" i="18"/>
  <c r="B1175" i="18"/>
  <c r="B1174" i="18"/>
  <c r="B1173" i="18"/>
  <c r="B1172" i="18"/>
  <c r="B1171" i="18"/>
  <c r="B1170" i="18"/>
  <c r="B1169" i="18"/>
  <c r="B1168" i="18"/>
  <c r="B1167" i="18"/>
  <c r="B1166" i="18"/>
  <c r="B1165" i="18"/>
  <c r="B1164" i="18"/>
  <c r="B1163" i="18"/>
  <c r="B1162" i="18"/>
  <c r="B1161" i="18"/>
  <c r="B1160" i="18"/>
  <c r="B1159" i="18"/>
  <c r="B1158" i="18"/>
  <c r="B1157" i="18"/>
  <c r="B1156" i="18"/>
  <c r="B1155" i="18"/>
  <c r="B1154" i="18"/>
  <c r="B1153" i="18"/>
  <c r="B1152" i="18"/>
  <c r="B1151" i="18"/>
  <c r="B1150" i="18"/>
  <c r="B1149" i="18"/>
  <c r="B1148" i="18"/>
  <c r="B1147" i="18"/>
  <c r="B1146" i="18"/>
  <c r="B1145" i="18"/>
  <c r="B1144" i="18"/>
  <c r="B1143" i="18"/>
  <c r="B1142" i="18"/>
  <c r="B1141" i="18"/>
  <c r="B1140" i="18"/>
  <c r="B1139" i="18"/>
  <c r="B1138" i="18"/>
  <c r="B1137" i="18"/>
  <c r="B1136" i="18"/>
  <c r="B1135" i="18"/>
  <c r="B1134" i="18"/>
  <c r="B1133" i="18"/>
  <c r="B1132" i="18"/>
  <c r="B1131" i="18"/>
  <c r="B1130" i="18"/>
  <c r="B1129" i="18"/>
  <c r="B1128" i="18"/>
  <c r="B1127" i="18"/>
  <c r="B1126" i="18"/>
  <c r="B1125" i="18"/>
  <c r="B1124" i="18"/>
  <c r="B1123" i="18"/>
  <c r="B1122" i="18"/>
  <c r="B1121" i="18"/>
  <c r="B1120" i="18"/>
  <c r="B1119" i="18"/>
  <c r="B1118" i="18"/>
  <c r="B1117" i="18"/>
  <c r="B1116" i="18"/>
  <c r="B1115" i="18"/>
  <c r="B1114" i="18"/>
  <c r="B1113" i="18"/>
  <c r="B1112" i="18"/>
  <c r="B1111" i="18"/>
  <c r="B1110" i="18"/>
  <c r="B1109" i="18"/>
  <c r="B1108" i="18"/>
  <c r="B1107" i="18"/>
  <c r="B1106" i="18"/>
  <c r="B1105" i="18"/>
  <c r="B1104" i="18"/>
  <c r="B1103" i="18"/>
  <c r="B1102" i="18"/>
  <c r="B1101" i="18"/>
  <c r="B1100" i="18"/>
  <c r="B1099" i="18"/>
  <c r="B1098" i="18"/>
  <c r="B1097" i="18"/>
  <c r="B1096" i="18"/>
  <c r="B1095" i="18"/>
  <c r="B1094" i="18"/>
  <c r="B1093" i="18"/>
  <c r="B1092" i="18"/>
  <c r="B1091" i="18"/>
  <c r="B1090" i="18"/>
  <c r="B1089" i="18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J27" i="18"/>
  <c r="B27" i="18"/>
  <c r="J26" i="18"/>
  <c r="B26" i="18"/>
  <c r="J25" i="18"/>
  <c r="B25" i="18"/>
  <c r="B24" i="18"/>
  <c r="B23" i="18"/>
  <c r="J22" i="18"/>
  <c r="B22" i="18"/>
  <c r="B21" i="18"/>
  <c r="J20" i="18"/>
  <c r="B20" i="18"/>
  <c r="B19" i="18"/>
  <c r="B18" i="18"/>
  <c r="B17" i="18"/>
  <c r="B16" i="18"/>
  <c r="B15" i="18"/>
  <c r="B14" i="18"/>
  <c r="J13" i="18"/>
  <c r="J15" i="18" s="1"/>
  <c r="B13" i="18"/>
  <c r="B12" i="18"/>
  <c r="B11" i="18"/>
  <c r="B10" i="18"/>
  <c r="B9" i="18"/>
  <c r="B8" i="18"/>
  <c r="B7" i="18"/>
  <c r="B6" i="18"/>
  <c r="B5" i="18"/>
  <c r="B4" i="18"/>
  <c r="AH24" i="7"/>
  <c r="AF24" i="7"/>
  <c r="AG24" i="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5" i="17"/>
  <c r="S44" i="17"/>
  <c r="P44" i="17"/>
  <c r="K22" i="17"/>
  <c r="K15" i="17"/>
  <c r="K8" i="17"/>
  <c r="I5" i="17"/>
  <c r="C5" i="17"/>
  <c r="C6" i="17" s="1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7" i="17" s="1"/>
  <c r="C38" i="17" s="1"/>
  <c r="C39" i="17" s="1"/>
  <c r="C40" i="17" s="1"/>
  <c r="C41" i="17" s="1"/>
  <c r="C42" i="17" s="1"/>
  <c r="C43" i="17" s="1"/>
  <c r="C44" i="17" s="1"/>
  <c r="C45" i="17" s="1"/>
  <c r="C46" i="17" s="1"/>
  <c r="C47" i="17" s="1"/>
  <c r="C48" i="17" s="1"/>
  <c r="C49" i="17" s="1"/>
  <c r="C50" i="17" s="1"/>
  <c r="C51" i="17" s="1"/>
  <c r="C52" i="17" s="1"/>
  <c r="C53" i="17" s="1"/>
  <c r="C54" i="17" s="1"/>
  <c r="C55" i="17" s="1"/>
  <c r="C56" i="17" s="1"/>
  <c r="C57" i="17" s="1"/>
  <c r="C58" i="17" s="1"/>
  <c r="C59" i="17" s="1"/>
  <c r="C60" i="17" s="1"/>
  <c r="C61" i="17" s="1"/>
  <c r="C62" i="17" s="1"/>
  <c r="C63" i="17" s="1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C97" i="17" s="1"/>
  <c r="C98" i="17" s="1"/>
  <c r="C99" i="17" s="1"/>
  <c r="C100" i="17" s="1"/>
  <c r="C101" i="17" s="1"/>
  <c r="C102" i="17" s="1"/>
  <c r="B2445" i="15"/>
  <c r="B2444" i="15"/>
  <c r="B2443" i="15"/>
  <c r="B2442" i="15"/>
  <c r="B2441" i="15"/>
  <c r="B2440" i="15"/>
  <c r="B2439" i="15"/>
  <c r="B2438" i="15"/>
  <c r="B2437" i="15"/>
  <c r="B2436" i="15"/>
  <c r="B2435" i="15"/>
  <c r="B2434" i="15"/>
  <c r="B2433" i="15"/>
  <c r="B2432" i="15"/>
  <c r="B2431" i="15"/>
  <c r="B2430" i="15"/>
  <c r="B2429" i="15"/>
  <c r="B2428" i="15"/>
  <c r="B2427" i="15"/>
  <c r="B2426" i="15"/>
  <c r="B2425" i="15"/>
  <c r="B2424" i="15"/>
  <c r="B2423" i="15"/>
  <c r="B2422" i="15"/>
  <c r="B2421" i="15"/>
  <c r="B2420" i="15"/>
  <c r="B2419" i="15"/>
  <c r="B2418" i="15"/>
  <c r="B2417" i="15"/>
  <c r="B2416" i="15"/>
  <c r="B2415" i="15"/>
  <c r="B2414" i="15"/>
  <c r="B2413" i="15"/>
  <c r="B2412" i="15"/>
  <c r="B2411" i="15"/>
  <c r="B2410" i="15"/>
  <c r="B2409" i="15"/>
  <c r="B2408" i="15"/>
  <c r="B2407" i="15"/>
  <c r="B2406" i="15"/>
  <c r="B2405" i="15"/>
  <c r="B2404" i="15"/>
  <c r="B2403" i="15"/>
  <c r="B2402" i="15"/>
  <c r="B2401" i="15"/>
  <c r="B2400" i="15"/>
  <c r="B2399" i="15"/>
  <c r="B2398" i="15"/>
  <c r="B2397" i="15"/>
  <c r="B2396" i="15"/>
  <c r="B2395" i="15"/>
  <c r="B2394" i="15"/>
  <c r="B2393" i="15"/>
  <c r="B2392" i="15"/>
  <c r="B2391" i="15"/>
  <c r="B2390" i="15"/>
  <c r="B2389" i="15"/>
  <c r="B2388" i="15"/>
  <c r="B2387" i="15"/>
  <c r="B2386" i="15"/>
  <c r="B2385" i="15"/>
  <c r="B2384" i="15"/>
  <c r="B2383" i="15"/>
  <c r="B2382" i="15"/>
  <c r="B2381" i="15"/>
  <c r="B2380" i="15"/>
  <c r="B2379" i="15"/>
  <c r="B2378" i="15"/>
  <c r="B2377" i="15"/>
  <c r="B2376" i="15"/>
  <c r="B2375" i="15"/>
  <c r="B2374" i="15"/>
  <c r="B2373" i="15"/>
  <c r="B2372" i="15"/>
  <c r="B2371" i="15"/>
  <c r="B2370" i="15"/>
  <c r="B2369" i="15"/>
  <c r="B2368" i="15"/>
  <c r="B2367" i="15"/>
  <c r="B2366" i="15"/>
  <c r="B2365" i="15"/>
  <c r="B2364" i="15"/>
  <c r="B2363" i="15"/>
  <c r="B2362" i="15"/>
  <c r="B2361" i="15"/>
  <c r="B2360" i="15"/>
  <c r="B2359" i="15"/>
  <c r="B2358" i="15"/>
  <c r="B2357" i="15"/>
  <c r="B2356" i="15"/>
  <c r="B2355" i="15"/>
  <c r="B2354" i="15"/>
  <c r="B2353" i="15"/>
  <c r="B2352" i="15"/>
  <c r="B2351" i="15"/>
  <c r="B2350" i="15"/>
  <c r="B2349" i="15"/>
  <c r="B2348" i="15"/>
  <c r="B2347" i="15"/>
  <c r="B2346" i="15"/>
  <c r="B2345" i="15"/>
  <c r="B2344" i="15"/>
  <c r="B2343" i="15"/>
  <c r="B2342" i="15"/>
  <c r="B2341" i="15"/>
  <c r="B2340" i="15"/>
  <c r="B2339" i="15"/>
  <c r="B2338" i="15"/>
  <c r="B2337" i="15"/>
  <c r="B2336" i="15"/>
  <c r="B2335" i="15"/>
  <c r="B2334" i="15"/>
  <c r="B2333" i="15"/>
  <c r="B2332" i="15"/>
  <c r="B2331" i="15"/>
  <c r="B2330" i="15"/>
  <c r="B2329" i="15"/>
  <c r="B2328" i="15"/>
  <c r="B2327" i="15"/>
  <c r="B2326" i="15"/>
  <c r="B2325" i="15"/>
  <c r="B2324" i="15"/>
  <c r="B2323" i="15"/>
  <c r="B2322" i="15"/>
  <c r="B2321" i="15"/>
  <c r="B2320" i="15"/>
  <c r="B2319" i="15"/>
  <c r="B2318" i="15"/>
  <c r="B2317" i="15"/>
  <c r="B2316" i="15"/>
  <c r="B2315" i="15"/>
  <c r="B2314" i="15"/>
  <c r="B2313" i="15"/>
  <c r="B2312" i="15"/>
  <c r="B2311" i="15"/>
  <c r="B2310" i="15"/>
  <c r="B2309" i="15"/>
  <c r="B2308" i="15"/>
  <c r="B2307" i="15"/>
  <c r="B2306" i="15"/>
  <c r="B2305" i="15"/>
  <c r="B2304" i="15"/>
  <c r="B2303" i="15"/>
  <c r="B2302" i="15"/>
  <c r="B2301" i="15"/>
  <c r="B2300" i="15"/>
  <c r="B2299" i="15"/>
  <c r="B2298" i="15"/>
  <c r="B2297" i="15"/>
  <c r="B2296" i="15"/>
  <c r="B2295" i="15"/>
  <c r="B2294" i="15"/>
  <c r="B2293" i="15"/>
  <c r="B2292" i="15"/>
  <c r="B2291" i="15"/>
  <c r="B2290" i="15"/>
  <c r="B2289" i="15"/>
  <c r="B2288" i="15"/>
  <c r="B2287" i="15"/>
  <c r="B2286" i="15"/>
  <c r="B2285" i="15"/>
  <c r="B2284" i="15"/>
  <c r="B2283" i="15"/>
  <c r="B2282" i="15"/>
  <c r="B2281" i="15"/>
  <c r="B2280" i="15"/>
  <c r="B2279" i="15"/>
  <c r="B2278" i="15"/>
  <c r="B2277" i="15"/>
  <c r="B2276" i="15"/>
  <c r="B2275" i="15"/>
  <c r="B2274" i="15"/>
  <c r="B2273" i="15"/>
  <c r="B2272" i="15"/>
  <c r="B2271" i="15"/>
  <c r="B2270" i="15"/>
  <c r="B2269" i="15"/>
  <c r="B2268" i="15"/>
  <c r="B2267" i="15"/>
  <c r="B2266" i="15"/>
  <c r="B2265" i="15"/>
  <c r="B2264" i="15"/>
  <c r="B2263" i="15"/>
  <c r="B2262" i="15"/>
  <c r="B2261" i="15"/>
  <c r="B2260" i="15"/>
  <c r="B2259" i="15"/>
  <c r="B2258" i="15"/>
  <c r="B2257" i="15"/>
  <c r="B2256" i="15"/>
  <c r="B2255" i="15"/>
  <c r="B2254" i="15"/>
  <c r="B2253" i="15"/>
  <c r="B2252" i="15"/>
  <c r="B2251" i="15"/>
  <c r="B2250" i="15"/>
  <c r="B2249" i="15"/>
  <c r="B2248" i="15"/>
  <c r="B2247" i="15"/>
  <c r="B2246" i="15"/>
  <c r="B2245" i="15"/>
  <c r="B2244" i="15"/>
  <c r="B2243" i="15"/>
  <c r="B2242" i="15"/>
  <c r="B2241" i="15"/>
  <c r="B2240" i="15"/>
  <c r="B2239" i="15"/>
  <c r="B2238" i="15"/>
  <c r="B2237" i="15"/>
  <c r="B2236" i="15"/>
  <c r="B2235" i="15"/>
  <c r="B2234" i="15"/>
  <c r="B2233" i="15"/>
  <c r="B2232" i="15"/>
  <c r="B2231" i="15"/>
  <c r="B2230" i="15"/>
  <c r="B2229" i="15"/>
  <c r="B2228" i="15"/>
  <c r="B2227" i="15"/>
  <c r="B2226" i="15"/>
  <c r="B2225" i="15"/>
  <c r="B2224" i="15"/>
  <c r="B2223" i="15"/>
  <c r="B2222" i="15"/>
  <c r="B2221" i="15"/>
  <c r="B2220" i="15"/>
  <c r="B2219" i="15"/>
  <c r="B2218" i="15"/>
  <c r="B2217" i="15"/>
  <c r="B2216" i="15"/>
  <c r="B2215" i="15"/>
  <c r="B2214" i="15"/>
  <c r="B2213" i="15"/>
  <c r="B2212" i="15"/>
  <c r="B2211" i="15"/>
  <c r="B2210" i="15"/>
  <c r="B2209" i="15"/>
  <c r="B2208" i="15"/>
  <c r="B2207" i="15"/>
  <c r="B2206" i="15"/>
  <c r="B2205" i="15"/>
  <c r="B2204" i="15"/>
  <c r="B2203" i="15"/>
  <c r="B2202" i="15"/>
  <c r="B2201" i="15"/>
  <c r="B2200" i="15"/>
  <c r="B2199" i="15"/>
  <c r="B2198" i="15"/>
  <c r="B2197" i="15"/>
  <c r="B2196" i="15"/>
  <c r="B2195" i="15"/>
  <c r="B2194" i="15"/>
  <c r="B2193" i="15"/>
  <c r="B2192" i="15"/>
  <c r="B2191" i="15"/>
  <c r="B2190" i="15"/>
  <c r="B2189" i="15"/>
  <c r="B2188" i="15"/>
  <c r="B2187" i="15"/>
  <c r="B2186" i="15"/>
  <c r="B2185" i="15"/>
  <c r="B2184" i="15"/>
  <c r="B2183" i="15"/>
  <c r="B2182" i="15"/>
  <c r="B2181" i="15"/>
  <c r="B2180" i="15"/>
  <c r="B2179" i="15"/>
  <c r="B2178" i="15"/>
  <c r="B2177" i="15"/>
  <c r="B2176" i="15"/>
  <c r="B2175" i="15"/>
  <c r="B2174" i="15"/>
  <c r="B2173" i="15"/>
  <c r="B2172" i="15"/>
  <c r="B2171" i="15"/>
  <c r="B2170" i="15"/>
  <c r="B2169" i="15"/>
  <c r="B2168" i="15"/>
  <c r="B2167" i="15"/>
  <c r="B2166" i="15"/>
  <c r="B2165" i="15"/>
  <c r="B2164" i="15"/>
  <c r="B2163" i="15"/>
  <c r="B2162" i="15"/>
  <c r="B2161" i="15"/>
  <c r="B2160" i="15"/>
  <c r="B2159" i="15"/>
  <c r="B2158" i="15"/>
  <c r="B2157" i="15"/>
  <c r="B2156" i="15"/>
  <c r="B2155" i="15"/>
  <c r="B2154" i="15"/>
  <c r="B2153" i="15"/>
  <c r="B2152" i="15"/>
  <c r="B2151" i="15"/>
  <c r="B2150" i="15"/>
  <c r="B2149" i="15"/>
  <c r="B2148" i="15"/>
  <c r="B2147" i="15"/>
  <c r="B2146" i="15"/>
  <c r="B2145" i="15"/>
  <c r="B2144" i="15"/>
  <c r="B2143" i="15"/>
  <c r="B2142" i="15"/>
  <c r="B2141" i="15"/>
  <c r="B2140" i="15"/>
  <c r="B2139" i="15"/>
  <c r="B2138" i="15"/>
  <c r="B2137" i="15"/>
  <c r="B2136" i="15"/>
  <c r="B2135" i="15"/>
  <c r="B2134" i="15"/>
  <c r="B2133" i="15"/>
  <c r="B2132" i="15"/>
  <c r="B2131" i="15"/>
  <c r="B2130" i="15"/>
  <c r="B2129" i="15"/>
  <c r="B2128" i="15"/>
  <c r="B2127" i="15"/>
  <c r="B2126" i="15"/>
  <c r="B2125" i="15"/>
  <c r="B2124" i="15"/>
  <c r="B2123" i="15"/>
  <c r="B2122" i="15"/>
  <c r="B2121" i="15"/>
  <c r="B2120" i="15"/>
  <c r="B2119" i="15"/>
  <c r="B2118" i="15"/>
  <c r="B2117" i="15"/>
  <c r="B2116" i="15"/>
  <c r="B2115" i="15"/>
  <c r="B2114" i="15"/>
  <c r="B2113" i="15"/>
  <c r="B2112" i="15"/>
  <c r="B2111" i="15"/>
  <c r="B2110" i="15"/>
  <c r="B2109" i="15"/>
  <c r="B2108" i="15"/>
  <c r="B2107" i="15"/>
  <c r="B2106" i="15"/>
  <c r="B2105" i="15"/>
  <c r="B2104" i="15"/>
  <c r="B2103" i="15"/>
  <c r="B2102" i="15"/>
  <c r="B2101" i="15"/>
  <c r="B2100" i="15"/>
  <c r="B2099" i="15"/>
  <c r="B2098" i="15"/>
  <c r="B2097" i="15"/>
  <c r="B2096" i="15"/>
  <c r="B2095" i="15"/>
  <c r="B2094" i="15"/>
  <c r="B2093" i="15"/>
  <c r="B2092" i="15"/>
  <c r="B2091" i="15"/>
  <c r="B2090" i="15"/>
  <c r="B2089" i="15"/>
  <c r="B2088" i="15"/>
  <c r="B2087" i="15"/>
  <c r="B2086" i="15"/>
  <c r="B2085" i="15"/>
  <c r="B2084" i="15"/>
  <c r="B2083" i="15"/>
  <c r="B2082" i="15"/>
  <c r="B2081" i="15"/>
  <c r="B2080" i="15"/>
  <c r="B2079" i="15"/>
  <c r="B2078" i="15"/>
  <c r="B2077" i="15"/>
  <c r="B2076" i="15"/>
  <c r="B2075" i="15"/>
  <c r="B2074" i="15"/>
  <c r="B2073" i="15"/>
  <c r="B2072" i="15"/>
  <c r="B2071" i="15"/>
  <c r="B2070" i="15"/>
  <c r="B2069" i="15"/>
  <c r="B2068" i="15"/>
  <c r="B2067" i="15"/>
  <c r="B2066" i="15"/>
  <c r="B2065" i="15"/>
  <c r="B2064" i="15"/>
  <c r="B2063" i="15"/>
  <c r="B2062" i="15"/>
  <c r="B2061" i="15"/>
  <c r="B2060" i="15"/>
  <c r="B2059" i="15"/>
  <c r="B2058" i="15"/>
  <c r="B2057" i="15"/>
  <c r="B2056" i="15"/>
  <c r="B2055" i="15"/>
  <c r="B2054" i="15"/>
  <c r="B2053" i="15"/>
  <c r="B2052" i="15"/>
  <c r="B2051" i="15"/>
  <c r="B2050" i="15"/>
  <c r="B2049" i="15"/>
  <c r="B2048" i="15"/>
  <c r="B2047" i="15"/>
  <c r="B2046" i="15"/>
  <c r="B2045" i="15"/>
  <c r="B2044" i="15"/>
  <c r="B2043" i="15"/>
  <c r="B2042" i="15"/>
  <c r="B2041" i="15"/>
  <c r="B2040" i="15"/>
  <c r="B2039" i="15"/>
  <c r="B2038" i="15"/>
  <c r="B2037" i="15"/>
  <c r="B2036" i="15"/>
  <c r="B2035" i="15"/>
  <c r="B2034" i="15"/>
  <c r="B2033" i="15"/>
  <c r="B2032" i="15"/>
  <c r="B2031" i="15"/>
  <c r="B2030" i="15"/>
  <c r="B2029" i="15"/>
  <c r="B2028" i="15"/>
  <c r="B2027" i="15"/>
  <c r="B2026" i="15"/>
  <c r="B2025" i="15"/>
  <c r="B2024" i="15"/>
  <c r="B2023" i="15"/>
  <c r="B2022" i="15"/>
  <c r="B2021" i="15"/>
  <c r="B2020" i="15"/>
  <c r="B2019" i="15"/>
  <c r="B2018" i="15"/>
  <c r="B2017" i="15"/>
  <c r="B2016" i="15"/>
  <c r="B2015" i="15"/>
  <c r="B2014" i="15"/>
  <c r="B2013" i="15"/>
  <c r="B2012" i="15"/>
  <c r="B2011" i="15"/>
  <c r="B2010" i="15"/>
  <c r="B2009" i="15"/>
  <c r="B2008" i="15"/>
  <c r="B2007" i="15"/>
  <c r="B2006" i="15"/>
  <c r="B2005" i="15"/>
  <c r="B2004" i="15"/>
  <c r="B2003" i="15"/>
  <c r="B2002" i="15"/>
  <c r="B2001" i="15"/>
  <c r="B2000" i="15"/>
  <c r="B1999" i="15"/>
  <c r="B1998" i="15"/>
  <c r="B1997" i="15"/>
  <c r="B1996" i="15"/>
  <c r="B1995" i="15"/>
  <c r="B1994" i="15"/>
  <c r="B1993" i="15"/>
  <c r="B1992" i="15"/>
  <c r="B1991" i="15"/>
  <c r="B1990" i="15"/>
  <c r="B1989" i="15"/>
  <c r="B1988" i="15"/>
  <c r="B1987" i="15"/>
  <c r="B1986" i="15"/>
  <c r="B1985" i="15"/>
  <c r="B1984" i="15"/>
  <c r="B1983" i="15"/>
  <c r="B1982" i="15"/>
  <c r="B1981" i="15"/>
  <c r="B1980" i="15"/>
  <c r="B1979" i="15"/>
  <c r="B1978" i="15"/>
  <c r="B1977" i="15"/>
  <c r="B1976" i="15"/>
  <c r="B1975" i="15"/>
  <c r="B1974" i="15"/>
  <c r="B1973" i="15"/>
  <c r="B1972" i="15"/>
  <c r="B1971" i="15"/>
  <c r="B1970" i="15"/>
  <c r="B1969" i="15"/>
  <c r="B1968" i="15"/>
  <c r="B1967" i="15"/>
  <c r="B1966" i="15"/>
  <c r="B1965" i="15"/>
  <c r="B1964" i="15"/>
  <c r="B1963" i="15"/>
  <c r="B1962" i="15"/>
  <c r="B1961" i="15"/>
  <c r="B1960" i="15"/>
  <c r="B1959" i="15"/>
  <c r="B1958" i="15"/>
  <c r="B1957" i="15"/>
  <c r="B1956" i="15"/>
  <c r="B1955" i="15"/>
  <c r="B1954" i="15"/>
  <c r="B1953" i="15"/>
  <c r="B1952" i="15"/>
  <c r="B1951" i="15"/>
  <c r="B1950" i="15"/>
  <c r="B1949" i="15"/>
  <c r="B1948" i="15"/>
  <c r="B1947" i="15"/>
  <c r="B1946" i="15"/>
  <c r="B1945" i="15"/>
  <c r="B1944" i="15"/>
  <c r="B1943" i="15"/>
  <c r="B1942" i="15"/>
  <c r="B1941" i="15"/>
  <c r="B1940" i="15"/>
  <c r="B1939" i="15"/>
  <c r="B1938" i="15"/>
  <c r="B1937" i="15"/>
  <c r="B1936" i="15"/>
  <c r="B1935" i="15"/>
  <c r="B1934" i="15"/>
  <c r="B1933" i="15"/>
  <c r="B1932" i="15"/>
  <c r="B1931" i="15"/>
  <c r="B1930" i="15"/>
  <c r="B1929" i="15"/>
  <c r="B1928" i="15"/>
  <c r="B1927" i="15"/>
  <c r="B1926" i="15"/>
  <c r="B1925" i="15"/>
  <c r="B1924" i="15"/>
  <c r="B1923" i="15"/>
  <c r="B1922" i="15"/>
  <c r="B1921" i="15"/>
  <c r="B1920" i="15"/>
  <c r="B1919" i="15"/>
  <c r="B1918" i="15"/>
  <c r="B1917" i="15"/>
  <c r="B1916" i="15"/>
  <c r="B1915" i="15"/>
  <c r="B1914" i="15"/>
  <c r="B1913" i="15"/>
  <c r="B1912" i="15"/>
  <c r="B1911" i="15"/>
  <c r="B1910" i="15"/>
  <c r="B1909" i="15"/>
  <c r="B1908" i="15"/>
  <c r="B1907" i="15"/>
  <c r="B1906" i="15"/>
  <c r="B1905" i="15"/>
  <c r="B1904" i="15"/>
  <c r="B1903" i="15"/>
  <c r="B1902" i="15"/>
  <c r="B1901" i="15"/>
  <c r="B1900" i="15"/>
  <c r="B1899" i="15"/>
  <c r="B1898" i="15"/>
  <c r="B1897" i="15"/>
  <c r="B1896" i="15"/>
  <c r="B1895" i="15"/>
  <c r="B1894" i="15"/>
  <c r="B1893" i="15"/>
  <c r="B1892" i="15"/>
  <c r="B1891" i="15"/>
  <c r="B1890" i="15"/>
  <c r="B1889" i="15"/>
  <c r="B1888" i="15"/>
  <c r="B1887" i="15"/>
  <c r="B1886" i="15"/>
  <c r="B1885" i="15"/>
  <c r="B1884" i="15"/>
  <c r="B1883" i="15"/>
  <c r="B1882" i="15"/>
  <c r="B1881" i="15"/>
  <c r="B1880" i="15"/>
  <c r="B1879" i="15"/>
  <c r="B1878" i="15"/>
  <c r="B1877" i="15"/>
  <c r="B1876" i="15"/>
  <c r="B1875" i="15"/>
  <c r="B1874" i="15"/>
  <c r="B1873" i="15"/>
  <c r="B1872" i="15"/>
  <c r="B1871" i="15"/>
  <c r="B1870" i="15"/>
  <c r="B1869" i="15"/>
  <c r="B1868" i="15"/>
  <c r="B1867" i="15"/>
  <c r="B1866" i="15"/>
  <c r="B1865" i="15"/>
  <c r="B1864" i="15"/>
  <c r="B1863" i="15"/>
  <c r="B1862" i="15"/>
  <c r="B1861" i="15"/>
  <c r="B1860" i="15"/>
  <c r="B1859" i="15"/>
  <c r="B1858" i="15"/>
  <c r="B1857" i="15"/>
  <c r="B1856" i="15"/>
  <c r="B1855" i="15"/>
  <c r="B1854" i="15"/>
  <c r="B1853" i="15"/>
  <c r="B1852" i="15"/>
  <c r="B1851" i="15"/>
  <c r="B1850" i="15"/>
  <c r="B1849" i="15"/>
  <c r="B1848" i="15"/>
  <c r="B1847" i="15"/>
  <c r="B1846" i="15"/>
  <c r="B1845" i="15"/>
  <c r="B1844" i="15"/>
  <c r="B1843" i="15"/>
  <c r="B1842" i="15"/>
  <c r="B1841" i="15"/>
  <c r="B1840" i="15"/>
  <c r="B1839" i="15"/>
  <c r="B1838" i="15"/>
  <c r="B1837" i="15"/>
  <c r="B1836" i="15"/>
  <c r="B1835" i="15"/>
  <c r="B1834" i="15"/>
  <c r="B1833" i="15"/>
  <c r="B1832" i="15"/>
  <c r="B1831" i="15"/>
  <c r="B1830" i="15"/>
  <c r="B1829" i="15"/>
  <c r="B1828" i="15"/>
  <c r="B1827" i="15"/>
  <c r="B1826" i="15"/>
  <c r="B1825" i="15"/>
  <c r="B1824" i="15"/>
  <c r="B1823" i="15"/>
  <c r="B1822" i="15"/>
  <c r="B1821" i="15"/>
  <c r="B1820" i="15"/>
  <c r="B1819" i="15"/>
  <c r="B1818" i="15"/>
  <c r="B1817" i="15"/>
  <c r="B1816" i="15"/>
  <c r="B1815" i="15"/>
  <c r="B1814" i="15"/>
  <c r="B1813" i="15"/>
  <c r="B1812" i="15"/>
  <c r="B1811" i="15"/>
  <c r="B1810" i="15"/>
  <c r="B1809" i="15"/>
  <c r="B1808" i="15"/>
  <c r="B1807" i="15"/>
  <c r="B1806" i="15"/>
  <c r="B1805" i="15"/>
  <c r="B1804" i="15"/>
  <c r="B1803" i="15"/>
  <c r="B1802" i="15"/>
  <c r="B1801" i="15"/>
  <c r="B1800" i="15"/>
  <c r="B1799" i="15"/>
  <c r="B1798" i="15"/>
  <c r="B1797" i="15"/>
  <c r="B1796" i="15"/>
  <c r="B1795" i="15"/>
  <c r="B1794" i="15"/>
  <c r="B1793" i="15"/>
  <c r="B1792" i="15"/>
  <c r="B1791" i="15"/>
  <c r="B1790" i="15"/>
  <c r="B1789" i="15"/>
  <c r="B1788" i="15"/>
  <c r="B1787" i="15"/>
  <c r="B1786" i="15"/>
  <c r="B1785" i="15"/>
  <c r="B1784" i="15"/>
  <c r="B1783" i="15"/>
  <c r="B1782" i="15"/>
  <c r="B1781" i="15"/>
  <c r="B1780" i="15"/>
  <c r="B1779" i="15"/>
  <c r="B1778" i="15"/>
  <c r="B1777" i="15"/>
  <c r="B1776" i="15"/>
  <c r="B1775" i="15"/>
  <c r="B1774" i="15"/>
  <c r="B1773" i="15"/>
  <c r="B1772" i="15"/>
  <c r="B1771" i="15"/>
  <c r="B1770" i="15"/>
  <c r="B1769" i="15"/>
  <c r="B1768" i="15"/>
  <c r="B1767" i="15"/>
  <c r="B1766" i="15"/>
  <c r="B1765" i="15"/>
  <c r="B1764" i="15"/>
  <c r="B1763" i="15"/>
  <c r="B1762" i="15"/>
  <c r="B1761" i="15"/>
  <c r="B1760" i="15"/>
  <c r="B1759" i="15"/>
  <c r="B1758" i="15"/>
  <c r="B1757" i="15"/>
  <c r="B1756" i="15"/>
  <c r="B1755" i="15"/>
  <c r="B1754" i="15"/>
  <c r="B1753" i="15"/>
  <c r="B1752" i="15"/>
  <c r="B1751" i="15"/>
  <c r="B1750" i="15"/>
  <c r="B1749" i="15"/>
  <c r="B1748" i="15"/>
  <c r="B1747" i="15"/>
  <c r="B1746" i="15"/>
  <c r="B1745" i="15"/>
  <c r="B1744" i="15"/>
  <c r="B1743" i="15"/>
  <c r="B1742" i="15"/>
  <c r="B1741" i="15"/>
  <c r="B1740" i="15"/>
  <c r="B1739" i="15"/>
  <c r="B1738" i="15"/>
  <c r="B1737" i="15"/>
  <c r="B1736" i="15"/>
  <c r="B1735" i="15"/>
  <c r="B1734" i="15"/>
  <c r="B1733" i="15"/>
  <c r="B1732" i="15"/>
  <c r="B1731" i="15"/>
  <c r="B1730" i="15"/>
  <c r="B1729" i="15"/>
  <c r="B1728" i="15"/>
  <c r="B1727" i="15"/>
  <c r="B1726" i="15"/>
  <c r="B1725" i="15"/>
  <c r="B1724" i="15"/>
  <c r="B1723" i="15"/>
  <c r="B1722" i="15"/>
  <c r="B1721" i="15"/>
  <c r="B1720" i="15"/>
  <c r="B1719" i="15"/>
  <c r="B1718" i="15"/>
  <c r="B1717" i="15"/>
  <c r="B1716" i="15"/>
  <c r="B1715" i="15"/>
  <c r="B1714" i="15"/>
  <c r="B1713" i="15"/>
  <c r="B1712" i="15"/>
  <c r="B1711" i="15"/>
  <c r="B1710" i="15"/>
  <c r="B1709" i="15"/>
  <c r="B1708" i="15"/>
  <c r="B1707" i="15"/>
  <c r="B1706" i="15"/>
  <c r="B1705" i="15"/>
  <c r="B1704" i="15"/>
  <c r="B1703" i="15"/>
  <c r="B1702" i="15"/>
  <c r="B1701" i="15"/>
  <c r="B1700" i="15"/>
  <c r="B1699" i="15"/>
  <c r="B1698" i="15"/>
  <c r="B1697" i="15"/>
  <c r="B1696" i="15"/>
  <c r="B1695" i="15"/>
  <c r="B1694" i="15"/>
  <c r="B1693" i="15"/>
  <c r="B1692" i="15"/>
  <c r="B1691" i="15"/>
  <c r="B1690" i="15"/>
  <c r="B1689" i="15"/>
  <c r="B1688" i="15"/>
  <c r="B1687" i="15"/>
  <c r="B1686" i="15"/>
  <c r="B1685" i="15"/>
  <c r="B1684" i="15"/>
  <c r="B1683" i="15"/>
  <c r="B1682" i="15"/>
  <c r="B1681" i="15"/>
  <c r="B1680" i="15"/>
  <c r="B1679" i="15"/>
  <c r="B1678" i="15"/>
  <c r="B1677" i="15"/>
  <c r="B1676" i="15"/>
  <c r="B1675" i="15"/>
  <c r="B1674" i="15"/>
  <c r="B1673" i="15"/>
  <c r="B1672" i="15"/>
  <c r="B1671" i="15"/>
  <c r="B1670" i="15"/>
  <c r="B1669" i="15"/>
  <c r="B1668" i="15"/>
  <c r="B1667" i="15"/>
  <c r="B1666" i="15"/>
  <c r="B1665" i="15"/>
  <c r="B1664" i="15"/>
  <c r="B1663" i="15"/>
  <c r="B1662" i="15"/>
  <c r="B1661" i="15"/>
  <c r="B1660" i="15"/>
  <c r="B1659" i="15"/>
  <c r="B1658" i="15"/>
  <c r="B1657" i="15"/>
  <c r="B1656" i="15"/>
  <c r="B1655" i="15"/>
  <c r="B1654" i="15"/>
  <c r="B1653" i="15"/>
  <c r="B1652" i="15"/>
  <c r="B1651" i="15"/>
  <c r="B1650" i="15"/>
  <c r="B1649" i="15"/>
  <c r="B1648" i="15"/>
  <c r="B1647" i="15"/>
  <c r="B1646" i="15"/>
  <c r="B1645" i="15"/>
  <c r="B1644" i="15"/>
  <c r="B1643" i="15"/>
  <c r="B1642" i="15"/>
  <c r="B1641" i="15"/>
  <c r="B1640" i="15"/>
  <c r="B1639" i="15"/>
  <c r="B1638" i="15"/>
  <c r="B1637" i="15"/>
  <c r="B1636" i="15"/>
  <c r="B1635" i="15"/>
  <c r="B1634" i="15"/>
  <c r="B1633" i="15"/>
  <c r="B1632" i="15"/>
  <c r="B1631" i="15"/>
  <c r="B1630" i="15"/>
  <c r="B1629" i="15"/>
  <c r="B1628" i="15"/>
  <c r="B1627" i="15"/>
  <c r="B1626" i="15"/>
  <c r="B1625" i="15"/>
  <c r="B1624" i="15"/>
  <c r="B1623" i="15"/>
  <c r="B1622" i="15"/>
  <c r="B1621" i="15"/>
  <c r="B1620" i="15"/>
  <c r="B1619" i="15"/>
  <c r="B1618" i="15"/>
  <c r="B1617" i="15"/>
  <c r="B1616" i="15"/>
  <c r="B1615" i="15"/>
  <c r="B1614" i="15"/>
  <c r="B1613" i="15"/>
  <c r="B1612" i="15"/>
  <c r="B1611" i="15"/>
  <c r="B1610" i="15"/>
  <c r="B1609" i="15"/>
  <c r="B1608" i="15"/>
  <c r="B1607" i="15"/>
  <c r="B1606" i="15"/>
  <c r="B1605" i="15"/>
  <c r="B1604" i="15"/>
  <c r="B1603" i="15"/>
  <c r="B1602" i="15"/>
  <c r="B1601" i="15"/>
  <c r="B1600" i="15"/>
  <c r="B1599" i="15"/>
  <c r="B1598" i="15"/>
  <c r="B1597" i="15"/>
  <c r="B1596" i="15"/>
  <c r="B1595" i="15"/>
  <c r="B1594" i="15"/>
  <c r="B1593" i="15"/>
  <c r="B1592" i="15"/>
  <c r="B1591" i="15"/>
  <c r="B1590" i="15"/>
  <c r="B1589" i="15"/>
  <c r="B1588" i="15"/>
  <c r="B1587" i="15"/>
  <c r="B1586" i="15"/>
  <c r="B1585" i="15"/>
  <c r="B1584" i="15"/>
  <c r="B1583" i="15"/>
  <c r="B1582" i="15"/>
  <c r="B1581" i="15"/>
  <c r="B1580" i="15"/>
  <c r="B1579" i="15"/>
  <c r="B1578" i="15"/>
  <c r="B1577" i="15"/>
  <c r="B1576" i="15"/>
  <c r="B1575" i="15"/>
  <c r="B1574" i="15"/>
  <c r="B1573" i="15"/>
  <c r="B1572" i="15"/>
  <c r="B1571" i="15"/>
  <c r="B1570" i="15"/>
  <c r="B1569" i="15"/>
  <c r="B1568" i="15"/>
  <c r="B1567" i="15"/>
  <c r="B1566" i="15"/>
  <c r="B1565" i="15"/>
  <c r="B1564" i="15"/>
  <c r="B1563" i="15"/>
  <c r="B1562" i="15"/>
  <c r="B1561" i="15"/>
  <c r="B1560" i="15"/>
  <c r="B1559" i="15"/>
  <c r="B1558" i="15"/>
  <c r="B1557" i="15"/>
  <c r="B1556" i="15"/>
  <c r="B1555" i="15"/>
  <c r="B1554" i="15"/>
  <c r="B1553" i="15"/>
  <c r="B1552" i="15"/>
  <c r="B1551" i="15"/>
  <c r="B1550" i="15"/>
  <c r="B1549" i="15"/>
  <c r="B1548" i="15"/>
  <c r="B1547" i="15"/>
  <c r="B1546" i="15"/>
  <c r="B1545" i="15"/>
  <c r="B1544" i="15"/>
  <c r="B1543" i="15"/>
  <c r="B1542" i="15"/>
  <c r="B1541" i="15"/>
  <c r="B1540" i="15"/>
  <c r="B1539" i="15"/>
  <c r="B1538" i="15"/>
  <c r="B1537" i="15"/>
  <c r="B1536" i="15"/>
  <c r="B1535" i="15"/>
  <c r="B1534" i="15"/>
  <c r="B1533" i="15"/>
  <c r="B1532" i="15"/>
  <c r="B1531" i="15"/>
  <c r="B1530" i="15"/>
  <c r="B1529" i="15"/>
  <c r="B1528" i="15"/>
  <c r="B1527" i="15"/>
  <c r="B1526" i="15"/>
  <c r="B1525" i="15"/>
  <c r="B1524" i="15"/>
  <c r="B1523" i="15"/>
  <c r="B1522" i="15"/>
  <c r="B1521" i="15"/>
  <c r="B1520" i="15"/>
  <c r="B1519" i="15"/>
  <c r="B1518" i="15"/>
  <c r="B1517" i="15"/>
  <c r="B1516" i="15"/>
  <c r="B1515" i="15"/>
  <c r="B1514" i="15"/>
  <c r="B1513" i="15"/>
  <c r="B1512" i="15"/>
  <c r="B1511" i="15"/>
  <c r="B1510" i="15"/>
  <c r="B1509" i="15"/>
  <c r="B1508" i="15"/>
  <c r="B1507" i="15"/>
  <c r="B1506" i="15"/>
  <c r="B1505" i="15"/>
  <c r="B1504" i="15"/>
  <c r="B1503" i="15"/>
  <c r="B1502" i="15"/>
  <c r="B1501" i="15"/>
  <c r="B1500" i="15"/>
  <c r="B1499" i="15"/>
  <c r="B1498" i="15"/>
  <c r="B1497" i="15"/>
  <c r="B1496" i="15"/>
  <c r="B1495" i="15"/>
  <c r="B1494" i="15"/>
  <c r="B1493" i="15"/>
  <c r="B1492" i="15"/>
  <c r="B1491" i="15"/>
  <c r="B1490" i="15"/>
  <c r="B1489" i="15"/>
  <c r="B1488" i="15"/>
  <c r="B1487" i="15"/>
  <c r="B1486" i="15"/>
  <c r="B1485" i="15"/>
  <c r="B1484" i="15"/>
  <c r="B1483" i="15"/>
  <c r="B1482" i="15"/>
  <c r="B1481" i="15"/>
  <c r="B1480" i="15"/>
  <c r="B1479" i="15"/>
  <c r="B1478" i="15"/>
  <c r="B1477" i="15"/>
  <c r="B1476" i="15"/>
  <c r="B1475" i="15"/>
  <c r="B1474" i="15"/>
  <c r="B1473" i="15"/>
  <c r="B1472" i="15"/>
  <c r="B1471" i="15"/>
  <c r="B1470" i="15"/>
  <c r="B1469" i="15"/>
  <c r="B1468" i="15"/>
  <c r="B1467" i="15"/>
  <c r="B1466" i="15"/>
  <c r="B1465" i="15"/>
  <c r="B1464" i="15"/>
  <c r="B1463" i="15"/>
  <c r="B1462" i="15"/>
  <c r="B1461" i="15"/>
  <c r="B1460" i="15"/>
  <c r="B1459" i="15"/>
  <c r="B1458" i="15"/>
  <c r="B1457" i="15"/>
  <c r="B1456" i="15"/>
  <c r="B1455" i="15"/>
  <c r="B1454" i="15"/>
  <c r="B1453" i="15"/>
  <c r="B1452" i="15"/>
  <c r="B1451" i="15"/>
  <c r="B1450" i="15"/>
  <c r="B1449" i="15"/>
  <c r="B1448" i="15"/>
  <c r="B1447" i="15"/>
  <c r="B1446" i="15"/>
  <c r="B1445" i="15"/>
  <c r="B1444" i="15"/>
  <c r="B1443" i="15"/>
  <c r="B1442" i="15"/>
  <c r="B1441" i="15"/>
  <c r="B1440" i="15"/>
  <c r="B1439" i="15"/>
  <c r="B1438" i="15"/>
  <c r="B1437" i="15"/>
  <c r="B1436" i="15"/>
  <c r="B1435" i="15"/>
  <c r="B1434" i="15"/>
  <c r="B1433" i="15"/>
  <c r="B1432" i="15"/>
  <c r="B1431" i="15"/>
  <c r="B1430" i="15"/>
  <c r="B1429" i="15"/>
  <c r="B1428" i="15"/>
  <c r="B1427" i="15"/>
  <c r="B1426" i="15"/>
  <c r="B1425" i="15"/>
  <c r="B1424" i="15"/>
  <c r="B1423" i="15"/>
  <c r="B1422" i="15"/>
  <c r="B1421" i="15"/>
  <c r="B1420" i="15"/>
  <c r="B1419" i="15"/>
  <c r="B1418" i="15"/>
  <c r="B1417" i="15"/>
  <c r="B1416" i="15"/>
  <c r="B1415" i="15"/>
  <c r="B1414" i="15"/>
  <c r="B1413" i="15"/>
  <c r="B1412" i="15"/>
  <c r="B1411" i="15"/>
  <c r="B1410" i="15"/>
  <c r="B1409" i="15"/>
  <c r="B1408" i="15"/>
  <c r="B1407" i="15"/>
  <c r="B1406" i="15"/>
  <c r="B1405" i="15"/>
  <c r="B1404" i="15"/>
  <c r="B1403" i="15"/>
  <c r="B1402" i="15"/>
  <c r="B1401" i="15"/>
  <c r="B1400" i="15"/>
  <c r="B1399" i="15"/>
  <c r="B1398" i="15"/>
  <c r="B1397" i="15"/>
  <c r="B1396" i="15"/>
  <c r="B1395" i="15"/>
  <c r="B1394" i="15"/>
  <c r="B1393" i="15"/>
  <c r="B1392" i="15"/>
  <c r="B1391" i="15"/>
  <c r="B1390" i="15"/>
  <c r="B1389" i="15"/>
  <c r="B1388" i="15"/>
  <c r="B1387" i="15"/>
  <c r="B1386" i="15"/>
  <c r="B1385" i="15"/>
  <c r="B1384" i="15"/>
  <c r="B1383" i="15"/>
  <c r="B1382" i="15"/>
  <c r="B1381" i="15"/>
  <c r="B1380" i="15"/>
  <c r="B1379" i="15"/>
  <c r="B1378" i="15"/>
  <c r="B1377" i="15"/>
  <c r="B1376" i="15"/>
  <c r="B1375" i="15"/>
  <c r="B1374" i="15"/>
  <c r="B1373" i="15"/>
  <c r="B1372" i="15"/>
  <c r="B1371" i="15"/>
  <c r="B1370" i="15"/>
  <c r="B1369" i="15"/>
  <c r="B1368" i="15"/>
  <c r="B1367" i="15"/>
  <c r="B1366" i="15"/>
  <c r="B1365" i="15"/>
  <c r="B1364" i="15"/>
  <c r="B1363" i="15"/>
  <c r="B1362" i="15"/>
  <c r="B1361" i="15"/>
  <c r="B1360" i="15"/>
  <c r="B1359" i="15"/>
  <c r="B1358" i="15"/>
  <c r="B1357" i="15"/>
  <c r="B1356" i="15"/>
  <c r="B1355" i="15"/>
  <c r="B1354" i="15"/>
  <c r="B1353" i="15"/>
  <c r="B1352" i="15"/>
  <c r="B1351" i="15"/>
  <c r="B1350" i="15"/>
  <c r="B1349" i="15"/>
  <c r="B1348" i="15"/>
  <c r="B1347" i="15"/>
  <c r="B1346" i="15"/>
  <c r="B1345" i="15"/>
  <c r="B1344" i="15"/>
  <c r="B1343" i="15"/>
  <c r="B1342" i="15"/>
  <c r="B1341" i="15"/>
  <c r="B1340" i="15"/>
  <c r="B1339" i="15"/>
  <c r="B1338" i="15"/>
  <c r="B1337" i="15"/>
  <c r="B1336" i="15"/>
  <c r="B1335" i="15"/>
  <c r="B1334" i="15"/>
  <c r="B1333" i="15"/>
  <c r="B1332" i="15"/>
  <c r="B1331" i="15"/>
  <c r="B1330" i="15"/>
  <c r="B1329" i="15"/>
  <c r="B1328" i="15"/>
  <c r="B1327" i="15"/>
  <c r="B1326" i="15"/>
  <c r="B1325" i="15"/>
  <c r="B1324" i="15"/>
  <c r="B1323" i="15"/>
  <c r="B1322" i="15"/>
  <c r="B1321" i="15"/>
  <c r="B1320" i="15"/>
  <c r="B1319" i="15"/>
  <c r="B1318" i="15"/>
  <c r="B1317" i="15"/>
  <c r="B1316" i="15"/>
  <c r="B1315" i="15"/>
  <c r="B1314" i="15"/>
  <c r="B1313" i="15"/>
  <c r="B1312" i="15"/>
  <c r="B1311" i="15"/>
  <c r="B1310" i="15"/>
  <c r="B1309" i="15"/>
  <c r="B1308" i="15"/>
  <c r="B1307" i="15"/>
  <c r="B1306" i="15"/>
  <c r="B1305" i="15"/>
  <c r="B1304" i="15"/>
  <c r="B1303" i="15"/>
  <c r="B1302" i="15"/>
  <c r="B1301" i="15"/>
  <c r="B1300" i="15"/>
  <c r="B1299" i="15"/>
  <c r="B1298" i="15"/>
  <c r="B1297" i="15"/>
  <c r="B1296" i="15"/>
  <c r="B1295" i="15"/>
  <c r="B1294" i="15"/>
  <c r="B1293" i="15"/>
  <c r="B1292" i="15"/>
  <c r="B1291" i="15"/>
  <c r="B1290" i="15"/>
  <c r="B1289" i="15"/>
  <c r="B1288" i="15"/>
  <c r="B1287" i="15"/>
  <c r="B1286" i="15"/>
  <c r="B1285" i="15"/>
  <c r="B1284" i="15"/>
  <c r="B1283" i="15"/>
  <c r="B1282" i="15"/>
  <c r="B1281" i="15"/>
  <c r="B1280" i="15"/>
  <c r="B1279" i="15"/>
  <c r="B1278" i="15"/>
  <c r="B1277" i="15"/>
  <c r="B1276" i="15"/>
  <c r="B1275" i="15"/>
  <c r="B1274" i="15"/>
  <c r="B1273" i="15"/>
  <c r="B1272" i="15"/>
  <c r="B1271" i="15"/>
  <c r="B1270" i="15"/>
  <c r="B1269" i="15"/>
  <c r="B1268" i="15"/>
  <c r="B1267" i="15"/>
  <c r="B1266" i="15"/>
  <c r="B1265" i="15"/>
  <c r="B1264" i="15"/>
  <c r="B1263" i="15"/>
  <c r="B1262" i="15"/>
  <c r="B1261" i="15"/>
  <c r="B1260" i="15"/>
  <c r="B1259" i="15"/>
  <c r="B1258" i="15"/>
  <c r="B1257" i="15"/>
  <c r="B1256" i="15"/>
  <c r="B1255" i="15"/>
  <c r="B1254" i="15"/>
  <c r="B1253" i="15"/>
  <c r="B1252" i="15"/>
  <c r="B1251" i="15"/>
  <c r="B1250" i="15"/>
  <c r="B1249" i="15"/>
  <c r="B1248" i="15"/>
  <c r="B1247" i="15"/>
  <c r="B1246" i="15"/>
  <c r="B1245" i="15"/>
  <c r="B1244" i="15"/>
  <c r="B1243" i="15"/>
  <c r="B1242" i="15"/>
  <c r="B1241" i="15"/>
  <c r="B1240" i="15"/>
  <c r="B1239" i="15"/>
  <c r="B1238" i="15"/>
  <c r="B1237" i="15"/>
  <c r="B1236" i="15"/>
  <c r="B1235" i="15"/>
  <c r="B1234" i="15"/>
  <c r="B1233" i="15"/>
  <c r="B1232" i="15"/>
  <c r="B1231" i="15"/>
  <c r="B1230" i="15"/>
  <c r="B1229" i="15"/>
  <c r="B1228" i="15"/>
  <c r="B1227" i="15"/>
  <c r="B1226" i="15"/>
  <c r="B1225" i="15"/>
  <c r="B1224" i="15"/>
  <c r="B1223" i="15"/>
  <c r="B1222" i="15"/>
  <c r="B1221" i="15"/>
  <c r="B1220" i="15"/>
  <c r="B1219" i="15"/>
  <c r="B1218" i="15"/>
  <c r="B1217" i="15"/>
  <c r="B1216" i="15"/>
  <c r="B1215" i="15"/>
  <c r="B1214" i="15"/>
  <c r="B1213" i="15"/>
  <c r="B1212" i="15"/>
  <c r="B1211" i="15"/>
  <c r="B1210" i="15"/>
  <c r="B1209" i="15"/>
  <c r="B1208" i="15"/>
  <c r="B1207" i="15"/>
  <c r="B1206" i="15"/>
  <c r="B1205" i="15"/>
  <c r="B1204" i="15"/>
  <c r="B1203" i="15"/>
  <c r="B1202" i="15"/>
  <c r="B1201" i="15"/>
  <c r="B1200" i="15"/>
  <c r="B1199" i="15"/>
  <c r="B1198" i="15"/>
  <c r="B1197" i="15"/>
  <c r="B1196" i="15"/>
  <c r="B1195" i="15"/>
  <c r="B1194" i="15"/>
  <c r="B1193" i="15"/>
  <c r="B1192" i="15"/>
  <c r="B1191" i="15"/>
  <c r="B1190" i="15"/>
  <c r="B1189" i="15"/>
  <c r="B1188" i="15"/>
  <c r="B1187" i="15"/>
  <c r="B1186" i="15"/>
  <c r="B1185" i="15"/>
  <c r="B1184" i="15"/>
  <c r="B1183" i="15"/>
  <c r="B1182" i="15"/>
  <c r="B1181" i="15"/>
  <c r="B1180" i="15"/>
  <c r="B1179" i="15"/>
  <c r="B1178" i="15"/>
  <c r="B1177" i="15"/>
  <c r="B1176" i="15"/>
  <c r="B1175" i="15"/>
  <c r="B1174" i="15"/>
  <c r="B1173" i="15"/>
  <c r="B1172" i="15"/>
  <c r="B1171" i="15"/>
  <c r="B1170" i="15"/>
  <c r="B1169" i="15"/>
  <c r="B1168" i="15"/>
  <c r="B1167" i="15"/>
  <c r="B1166" i="15"/>
  <c r="B1165" i="15"/>
  <c r="B1164" i="15"/>
  <c r="B1163" i="15"/>
  <c r="B1162" i="15"/>
  <c r="B1161" i="15"/>
  <c r="B1160" i="15"/>
  <c r="B1159" i="15"/>
  <c r="B1158" i="15"/>
  <c r="B1157" i="15"/>
  <c r="B1156" i="15"/>
  <c r="B1155" i="15"/>
  <c r="B1154" i="15"/>
  <c r="B1153" i="15"/>
  <c r="B1152" i="15"/>
  <c r="B1151" i="15"/>
  <c r="B1150" i="15"/>
  <c r="B1149" i="15"/>
  <c r="B1148" i="15"/>
  <c r="B1147" i="15"/>
  <c r="B1146" i="15"/>
  <c r="B1145" i="15"/>
  <c r="B1144" i="15"/>
  <c r="B1143" i="15"/>
  <c r="B1142" i="15"/>
  <c r="B1141" i="15"/>
  <c r="B1140" i="15"/>
  <c r="B1139" i="15"/>
  <c r="B1138" i="15"/>
  <c r="B1137" i="15"/>
  <c r="B1136" i="15"/>
  <c r="B1135" i="15"/>
  <c r="B1134" i="15"/>
  <c r="B1133" i="15"/>
  <c r="B1132" i="15"/>
  <c r="B1131" i="15"/>
  <c r="B1130" i="15"/>
  <c r="B1129" i="15"/>
  <c r="B1128" i="15"/>
  <c r="B1127" i="15"/>
  <c r="B1126" i="15"/>
  <c r="B1125" i="15"/>
  <c r="B1124" i="15"/>
  <c r="B1123" i="15"/>
  <c r="B1122" i="15"/>
  <c r="B1121" i="15"/>
  <c r="B1120" i="15"/>
  <c r="B1119" i="15"/>
  <c r="B1118" i="15"/>
  <c r="B1117" i="15"/>
  <c r="B1116" i="15"/>
  <c r="B1115" i="15"/>
  <c r="B1114" i="15"/>
  <c r="B1113" i="15"/>
  <c r="B1112" i="15"/>
  <c r="B1111" i="15"/>
  <c r="B1110" i="15"/>
  <c r="B1109" i="15"/>
  <c r="B1108" i="15"/>
  <c r="B1107" i="15"/>
  <c r="B1106" i="15"/>
  <c r="B1105" i="15"/>
  <c r="B1104" i="15"/>
  <c r="B1103" i="15"/>
  <c r="B1102" i="15"/>
  <c r="B1101" i="15"/>
  <c r="B1100" i="15"/>
  <c r="B1099" i="15"/>
  <c r="B1098" i="15"/>
  <c r="B1097" i="15"/>
  <c r="B1096" i="15"/>
  <c r="B1095" i="15"/>
  <c r="B1094" i="15"/>
  <c r="B1093" i="15"/>
  <c r="B1092" i="15"/>
  <c r="B1091" i="15"/>
  <c r="B1090" i="15"/>
  <c r="B1089" i="15"/>
  <c r="B1088" i="15"/>
  <c r="B1087" i="15"/>
  <c r="B1086" i="15"/>
  <c r="B1085" i="15"/>
  <c r="B1084" i="15"/>
  <c r="B1083" i="15"/>
  <c r="B1082" i="15"/>
  <c r="B1081" i="15"/>
  <c r="B1080" i="15"/>
  <c r="B1079" i="15"/>
  <c r="B1078" i="15"/>
  <c r="B1077" i="15"/>
  <c r="B1076" i="15"/>
  <c r="B1075" i="15"/>
  <c r="B1074" i="15"/>
  <c r="B1073" i="15"/>
  <c r="B1072" i="15"/>
  <c r="B1071" i="15"/>
  <c r="B1070" i="15"/>
  <c r="B1069" i="15"/>
  <c r="B1068" i="15"/>
  <c r="B1067" i="15"/>
  <c r="B1066" i="15"/>
  <c r="B1065" i="15"/>
  <c r="B1064" i="15"/>
  <c r="B1063" i="15"/>
  <c r="B1062" i="15"/>
  <c r="B1061" i="15"/>
  <c r="B1060" i="15"/>
  <c r="B1059" i="15"/>
  <c r="B1058" i="15"/>
  <c r="B1057" i="15"/>
  <c r="B1056" i="15"/>
  <c r="B1055" i="15"/>
  <c r="B1054" i="15"/>
  <c r="B1053" i="15"/>
  <c r="B1052" i="15"/>
  <c r="B1051" i="15"/>
  <c r="B1050" i="15"/>
  <c r="B1049" i="15"/>
  <c r="B1048" i="15"/>
  <c r="B1047" i="15"/>
  <c r="B1046" i="15"/>
  <c r="B1045" i="15"/>
  <c r="B1044" i="15"/>
  <c r="B1043" i="15"/>
  <c r="B1042" i="15"/>
  <c r="B1041" i="15"/>
  <c r="B1040" i="15"/>
  <c r="B1039" i="15"/>
  <c r="B1038" i="15"/>
  <c r="B1037" i="15"/>
  <c r="B1036" i="15"/>
  <c r="B1035" i="15"/>
  <c r="B1034" i="15"/>
  <c r="B1033" i="15"/>
  <c r="B1032" i="15"/>
  <c r="B1031" i="15"/>
  <c r="B1030" i="15"/>
  <c r="B1029" i="15"/>
  <c r="B1028" i="15"/>
  <c r="B1027" i="15"/>
  <c r="B1026" i="15"/>
  <c r="B1025" i="15"/>
  <c r="B1024" i="15"/>
  <c r="B1023" i="15"/>
  <c r="B1022" i="15"/>
  <c r="B1021" i="15"/>
  <c r="B1020" i="15"/>
  <c r="B1019" i="15"/>
  <c r="B1018" i="15"/>
  <c r="B1017" i="15"/>
  <c r="B1016" i="15"/>
  <c r="B1015" i="15"/>
  <c r="B1014" i="15"/>
  <c r="B1013" i="15"/>
  <c r="B1012" i="15"/>
  <c r="B1011" i="15"/>
  <c r="B1010" i="15"/>
  <c r="B1009" i="15"/>
  <c r="B1008" i="15"/>
  <c r="B1007" i="15"/>
  <c r="B1006" i="15"/>
  <c r="B1005" i="15"/>
  <c r="B1004" i="15"/>
  <c r="B1003" i="15"/>
  <c r="B1002" i="15"/>
  <c r="B1001" i="15"/>
  <c r="B1000" i="15"/>
  <c r="B999" i="15"/>
  <c r="B998" i="15"/>
  <c r="B997" i="15"/>
  <c r="B996" i="15"/>
  <c r="B995" i="15"/>
  <c r="B994" i="15"/>
  <c r="B993" i="15"/>
  <c r="B992" i="15"/>
  <c r="B991" i="15"/>
  <c r="B990" i="15"/>
  <c r="B989" i="15"/>
  <c r="B988" i="15"/>
  <c r="B987" i="15"/>
  <c r="B986" i="15"/>
  <c r="B985" i="15"/>
  <c r="B984" i="15"/>
  <c r="B983" i="15"/>
  <c r="B982" i="15"/>
  <c r="B981" i="15"/>
  <c r="B980" i="15"/>
  <c r="B979" i="15"/>
  <c r="B978" i="15"/>
  <c r="B977" i="15"/>
  <c r="B976" i="15"/>
  <c r="B975" i="15"/>
  <c r="B974" i="15"/>
  <c r="B973" i="15"/>
  <c r="B972" i="15"/>
  <c r="B971" i="15"/>
  <c r="B970" i="15"/>
  <c r="B969" i="15"/>
  <c r="B968" i="15"/>
  <c r="B967" i="15"/>
  <c r="B966" i="15"/>
  <c r="B965" i="15"/>
  <c r="B964" i="15"/>
  <c r="B963" i="15"/>
  <c r="B962" i="15"/>
  <c r="B961" i="15"/>
  <c r="B960" i="15"/>
  <c r="B959" i="15"/>
  <c r="B958" i="15"/>
  <c r="B957" i="15"/>
  <c r="B956" i="15"/>
  <c r="B955" i="15"/>
  <c r="B954" i="15"/>
  <c r="B953" i="15"/>
  <c r="B952" i="15"/>
  <c r="B951" i="15"/>
  <c r="B950" i="15"/>
  <c r="B949" i="15"/>
  <c r="B948" i="15"/>
  <c r="B947" i="15"/>
  <c r="B946" i="15"/>
  <c r="B945" i="15"/>
  <c r="B944" i="15"/>
  <c r="B943" i="15"/>
  <c r="B942" i="15"/>
  <c r="B941" i="15"/>
  <c r="B940" i="15"/>
  <c r="B939" i="15"/>
  <c r="B938" i="15"/>
  <c r="B937" i="15"/>
  <c r="B936" i="15"/>
  <c r="B935" i="15"/>
  <c r="B934" i="15"/>
  <c r="B933" i="15"/>
  <c r="B932" i="15"/>
  <c r="B931" i="15"/>
  <c r="B930" i="15"/>
  <c r="B929" i="15"/>
  <c r="B928" i="15"/>
  <c r="B927" i="15"/>
  <c r="B926" i="15"/>
  <c r="B925" i="15"/>
  <c r="B924" i="15"/>
  <c r="B923" i="15"/>
  <c r="B922" i="15"/>
  <c r="B921" i="15"/>
  <c r="B920" i="15"/>
  <c r="B919" i="15"/>
  <c r="B918" i="15"/>
  <c r="B917" i="15"/>
  <c r="B916" i="15"/>
  <c r="B915" i="15"/>
  <c r="B914" i="15"/>
  <c r="B913" i="15"/>
  <c r="B912" i="15"/>
  <c r="B911" i="15"/>
  <c r="B910" i="15"/>
  <c r="B909" i="15"/>
  <c r="B908" i="15"/>
  <c r="B907" i="15"/>
  <c r="B906" i="15"/>
  <c r="B905" i="15"/>
  <c r="B904" i="15"/>
  <c r="B903" i="15"/>
  <c r="B902" i="15"/>
  <c r="B901" i="15"/>
  <c r="B900" i="15"/>
  <c r="B899" i="15"/>
  <c r="B898" i="15"/>
  <c r="B897" i="15"/>
  <c r="B896" i="15"/>
  <c r="B895" i="15"/>
  <c r="B894" i="15"/>
  <c r="B893" i="15"/>
  <c r="B892" i="15"/>
  <c r="B891" i="15"/>
  <c r="B890" i="15"/>
  <c r="B889" i="15"/>
  <c r="B888" i="15"/>
  <c r="B887" i="15"/>
  <c r="B886" i="15"/>
  <c r="B885" i="15"/>
  <c r="B884" i="15"/>
  <c r="B883" i="15"/>
  <c r="B882" i="15"/>
  <c r="B881" i="15"/>
  <c r="B880" i="15"/>
  <c r="B879" i="15"/>
  <c r="B878" i="15"/>
  <c r="B877" i="15"/>
  <c r="B876" i="15"/>
  <c r="B875" i="15"/>
  <c r="B874" i="15"/>
  <c r="B873" i="15"/>
  <c r="B872" i="15"/>
  <c r="B871" i="15"/>
  <c r="B870" i="15"/>
  <c r="B869" i="15"/>
  <c r="B868" i="15"/>
  <c r="B867" i="15"/>
  <c r="B866" i="15"/>
  <c r="B865" i="15"/>
  <c r="B864" i="15"/>
  <c r="B863" i="15"/>
  <c r="B862" i="15"/>
  <c r="B861" i="15"/>
  <c r="B860" i="15"/>
  <c r="B859" i="15"/>
  <c r="B858" i="15"/>
  <c r="B857" i="15"/>
  <c r="B856" i="15"/>
  <c r="B855" i="15"/>
  <c r="B854" i="15"/>
  <c r="B853" i="15"/>
  <c r="B852" i="15"/>
  <c r="B851" i="15"/>
  <c r="B850" i="15"/>
  <c r="B849" i="15"/>
  <c r="B848" i="15"/>
  <c r="B847" i="15"/>
  <c r="B846" i="15"/>
  <c r="B845" i="15"/>
  <c r="B844" i="15"/>
  <c r="B843" i="15"/>
  <c r="B842" i="15"/>
  <c r="B841" i="15"/>
  <c r="B840" i="15"/>
  <c r="B839" i="15"/>
  <c r="B838" i="15"/>
  <c r="B837" i="15"/>
  <c r="B836" i="15"/>
  <c r="B835" i="15"/>
  <c r="B834" i="15"/>
  <c r="B833" i="15"/>
  <c r="B832" i="15"/>
  <c r="B831" i="15"/>
  <c r="B830" i="15"/>
  <c r="B829" i="15"/>
  <c r="B828" i="15"/>
  <c r="B827" i="15"/>
  <c r="B826" i="15"/>
  <c r="B825" i="15"/>
  <c r="B824" i="15"/>
  <c r="B823" i="15"/>
  <c r="B822" i="15"/>
  <c r="B821" i="15"/>
  <c r="B820" i="15"/>
  <c r="B819" i="15"/>
  <c r="B818" i="15"/>
  <c r="B817" i="15"/>
  <c r="B816" i="15"/>
  <c r="B815" i="15"/>
  <c r="B814" i="15"/>
  <c r="B813" i="15"/>
  <c r="B812" i="15"/>
  <c r="B811" i="15"/>
  <c r="B810" i="15"/>
  <c r="B809" i="15"/>
  <c r="B808" i="15"/>
  <c r="B807" i="15"/>
  <c r="B806" i="15"/>
  <c r="B805" i="15"/>
  <c r="B804" i="15"/>
  <c r="B803" i="15"/>
  <c r="B802" i="15"/>
  <c r="B801" i="15"/>
  <c r="B800" i="15"/>
  <c r="B799" i="15"/>
  <c r="B798" i="15"/>
  <c r="B797" i="15"/>
  <c r="B796" i="15"/>
  <c r="B795" i="15"/>
  <c r="B794" i="15"/>
  <c r="B793" i="15"/>
  <c r="B792" i="15"/>
  <c r="B791" i="15"/>
  <c r="B790" i="15"/>
  <c r="B789" i="15"/>
  <c r="B788" i="15"/>
  <c r="B787" i="15"/>
  <c r="B786" i="15"/>
  <c r="B785" i="15"/>
  <c r="B784" i="15"/>
  <c r="B783" i="15"/>
  <c r="B782" i="15"/>
  <c r="B781" i="15"/>
  <c r="B780" i="15"/>
  <c r="B779" i="15"/>
  <c r="B778" i="15"/>
  <c r="B777" i="15"/>
  <c r="B776" i="15"/>
  <c r="B775" i="15"/>
  <c r="B774" i="15"/>
  <c r="B773" i="15"/>
  <c r="B772" i="15"/>
  <c r="B771" i="15"/>
  <c r="B770" i="15"/>
  <c r="B769" i="15"/>
  <c r="B768" i="15"/>
  <c r="B767" i="15"/>
  <c r="B766" i="15"/>
  <c r="B765" i="15"/>
  <c r="B764" i="15"/>
  <c r="B763" i="15"/>
  <c r="B762" i="15"/>
  <c r="B761" i="15"/>
  <c r="B760" i="15"/>
  <c r="B759" i="15"/>
  <c r="B758" i="15"/>
  <c r="B757" i="15"/>
  <c r="B756" i="15"/>
  <c r="B755" i="15"/>
  <c r="B754" i="15"/>
  <c r="B753" i="15"/>
  <c r="B752" i="15"/>
  <c r="B751" i="15"/>
  <c r="B750" i="15"/>
  <c r="B749" i="15"/>
  <c r="B748" i="15"/>
  <c r="B747" i="15"/>
  <c r="B746" i="15"/>
  <c r="B745" i="15"/>
  <c r="B744" i="15"/>
  <c r="B743" i="15"/>
  <c r="B742" i="15"/>
  <c r="B741" i="15"/>
  <c r="B740" i="15"/>
  <c r="B739" i="15"/>
  <c r="B738" i="15"/>
  <c r="B737" i="15"/>
  <c r="B736" i="15"/>
  <c r="B735" i="15"/>
  <c r="B734" i="15"/>
  <c r="B733" i="15"/>
  <c r="B732" i="15"/>
  <c r="B731" i="15"/>
  <c r="B730" i="15"/>
  <c r="B729" i="15"/>
  <c r="B728" i="15"/>
  <c r="B727" i="15"/>
  <c r="B726" i="15"/>
  <c r="B725" i="15"/>
  <c r="B724" i="15"/>
  <c r="B723" i="15"/>
  <c r="B722" i="15"/>
  <c r="B721" i="15"/>
  <c r="B720" i="15"/>
  <c r="B719" i="15"/>
  <c r="B718" i="15"/>
  <c r="B717" i="15"/>
  <c r="B716" i="15"/>
  <c r="B715" i="15"/>
  <c r="B714" i="15"/>
  <c r="B713" i="15"/>
  <c r="B712" i="15"/>
  <c r="B711" i="15"/>
  <c r="B710" i="15"/>
  <c r="B709" i="15"/>
  <c r="B708" i="15"/>
  <c r="B707" i="15"/>
  <c r="B706" i="15"/>
  <c r="B705" i="15"/>
  <c r="B704" i="15"/>
  <c r="B703" i="15"/>
  <c r="B702" i="15"/>
  <c r="B701" i="15"/>
  <c r="B700" i="15"/>
  <c r="B699" i="15"/>
  <c r="B698" i="15"/>
  <c r="B697" i="15"/>
  <c r="B696" i="15"/>
  <c r="B695" i="15"/>
  <c r="B694" i="15"/>
  <c r="B693" i="15"/>
  <c r="B692" i="15"/>
  <c r="B691" i="15"/>
  <c r="B690" i="15"/>
  <c r="B689" i="15"/>
  <c r="B688" i="15"/>
  <c r="B687" i="15"/>
  <c r="B686" i="15"/>
  <c r="B685" i="15"/>
  <c r="B684" i="15"/>
  <c r="B683" i="15"/>
  <c r="B682" i="15"/>
  <c r="B681" i="15"/>
  <c r="B680" i="15"/>
  <c r="B679" i="15"/>
  <c r="B678" i="15"/>
  <c r="B677" i="15"/>
  <c r="B676" i="15"/>
  <c r="B675" i="15"/>
  <c r="B674" i="15"/>
  <c r="B673" i="15"/>
  <c r="B672" i="15"/>
  <c r="B671" i="15"/>
  <c r="B670" i="15"/>
  <c r="B669" i="15"/>
  <c r="B668" i="15"/>
  <c r="B667" i="15"/>
  <c r="B666" i="15"/>
  <c r="B665" i="15"/>
  <c r="B664" i="15"/>
  <c r="B663" i="15"/>
  <c r="B662" i="15"/>
  <c r="B661" i="15"/>
  <c r="B660" i="15"/>
  <c r="B659" i="15"/>
  <c r="B658" i="15"/>
  <c r="B657" i="15"/>
  <c r="B656" i="15"/>
  <c r="B655" i="15"/>
  <c r="B654" i="15"/>
  <c r="B653" i="15"/>
  <c r="B652" i="15"/>
  <c r="B651" i="15"/>
  <c r="B650" i="15"/>
  <c r="B649" i="15"/>
  <c r="B648" i="15"/>
  <c r="B647" i="15"/>
  <c r="B646" i="15"/>
  <c r="B645" i="15"/>
  <c r="B644" i="15"/>
  <c r="B643" i="15"/>
  <c r="B642" i="15"/>
  <c r="B641" i="15"/>
  <c r="B640" i="15"/>
  <c r="B639" i="15"/>
  <c r="B638" i="15"/>
  <c r="B637" i="15"/>
  <c r="B636" i="15"/>
  <c r="B635" i="15"/>
  <c r="B634" i="15"/>
  <c r="B633" i="15"/>
  <c r="B632" i="15"/>
  <c r="B631" i="15"/>
  <c r="B630" i="15"/>
  <c r="B629" i="15"/>
  <c r="B628" i="15"/>
  <c r="B627" i="15"/>
  <c r="B626" i="15"/>
  <c r="B625" i="15"/>
  <c r="B624" i="15"/>
  <c r="B623" i="15"/>
  <c r="B622" i="15"/>
  <c r="B621" i="15"/>
  <c r="B620" i="15"/>
  <c r="B619" i="15"/>
  <c r="B618" i="15"/>
  <c r="B617" i="15"/>
  <c r="B616" i="15"/>
  <c r="B615" i="15"/>
  <c r="B614" i="15"/>
  <c r="B613" i="15"/>
  <c r="B612" i="15"/>
  <c r="B611" i="15"/>
  <c r="B610" i="15"/>
  <c r="B609" i="15"/>
  <c r="B608" i="15"/>
  <c r="B607" i="15"/>
  <c r="B606" i="15"/>
  <c r="B605" i="15"/>
  <c r="B604" i="15"/>
  <c r="B603" i="15"/>
  <c r="B602" i="15"/>
  <c r="B601" i="15"/>
  <c r="B600" i="15"/>
  <c r="B599" i="15"/>
  <c r="B598" i="15"/>
  <c r="B597" i="15"/>
  <c r="B596" i="15"/>
  <c r="B595" i="15"/>
  <c r="B594" i="15"/>
  <c r="B593" i="15"/>
  <c r="B592" i="15"/>
  <c r="B591" i="15"/>
  <c r="B590" i="15"/>
  <c r="B589" i="15"/>
  <c r="B588" i="15"/>
  <c r="B587" i="15"/>
  <c r="B586" i="15"/>
  <c r="B585" i="15"/>
  <c r="B584" i="15"/>
  <c r="B583" i="15"/>
  <c r="B582" i="15"/>
  <c r="B581" i="15"/>
  <c r="B580" i="15"/>
  <c r="B579" i="15"/>
  <c r="B578" i="15"/>
  <c r="B577" i="15"/>
  <c r="B576" i="15"/>
  <c r="B575" i="15"/>
  <c r="B574" i="15"/>
  <c r="B573" i="15"/>
  <c r="B572" i="15"/>
  <c r="B571" i="15"/>
  <c r="B570" i="15"/>
  <c r="B569" i="15"/>
  <c r="B568" i="15"/>
  <c r="B567" i="15"/>
  <c r="B566" i="15"/>
  <c r="B565" i="15"/>
  <c r="B564" i="15"/>
  <c r="B563" i="15"/>
  <c r="B562" i="15"/>
  <c r="B561" i="15"/>
  <c r="B560" i="15"/>
  <c r="B559" i="15"/>
  <c r="B558" i="15"/>
  <c r="B557" i="15"/>
  <c r="B556" i="15"/>
  <c r="B555" i="15"/>
  <c r="B554" i="15"/>
  <c r="B553" i="15"/>
  <c r="B552" i="15"/>
  <c r="B551" i="15"/>
  <c r="B550" i="15"/>
  <c r="B549" i="15"/>
  <c r="B548" i="15"/>
  <c r="B547" i="15"/>
  <c r="B546" i="15"/>
  <c r="B545" i="15"/>
  <c r="B544" i="15"/>
  <c r="B543" i="15"/>
  <c r="B542" i="15"/>
  <c r="B541" i="15"/>
  <c r="B540" i="15"/>
  <c r="B539" i="15"/>
  <c r="B538" i="15"/>
  <c r="B537" i="15"/>
  <c r="B536" i="15"/>
  <c r="B535" i="15"/>
  <c r="B534" i="15"/>
  <c r="B533" i="15"/>
  <c r="B532" i="15"/>
  <c r="B531" i="15"/>
  <c r="B530" i="15"/>
  <c r="B529" i="15"/>
  <c r="B528" i="15"/>
  <c r="B527" i="15"/>
  <c r="B526" i="15"/>
  <c r="B525" i="15"/>
  <c r="B524" i="15"/>
  <c r="B523" i="15"/>
  <c r="B522" i="15"/>
  <c r="B521" i="15"/>
  <c r="B520" i="15"/>
  <c r="B519" i="15"/>
  <c r="B518" i="15"/>
  <c r="B517" i="15"/>
  <c r="B516" i="15"/>
  <c r="B515" i="15"/>
  <c r="B514" i="15"/>
  <c r="B513" i="15"/>
  <c r="B512" i="15"/>
  <c r="B511" i="15"/>
  <c r="B510" i="15"/>
  <c r="B509" i="15"/>
  <c r="B508" i="15"/>
  <c r="B507" i="15"/>
  <c r="B506" i="15"/>
  <c r="B505" i="15"/>
  <c r="B504" i="15"/>
  <c r="B503" i="15"/>
  <c r="B502" i="15"/>
  <c r="B501" i="15"/>
  <c r="B500" i="15"/>
  <c r="B499" i="15"/>
  <c r="B498" i="15"/>
  <c r="B497" i="15"/>
  <c r="B496" i="15"/>
  <c r="B495" i="15"/>
  <c r="B494" i="15"/>
  <c r="B493" i="15"/>
  <c r="B492" i="15"/>
  <c r="B491" i="15"/>
  <c r="B490" i="15"/>
  <c r="B489" i="15"/>
  <c r="B488" i="15"/>
  <c r="B487" i="15"/>
  <c r="B486" i="15"/>
  <c r="B485" i="15"/>
  <c r="B484" i="15"/>
  <c r="B483" i="15"/>
  <c r="B482" i="15"/>
  <c r="B481" i="15"/>
  <c r="B480" i="15"/>
  <c r="B479" i="15"/>
  <c r="B478" i="15"/>
  <c r="B477" i="15"/>
  <c r="B476" i="15"/>
  <c r="B475" i="15"/>
  <c r="B474" i="15"/>
  <c r="B473" i="15"/>
  <c r="B472" i="15"/>
  <c r="B471" i="15"/>
  <c r="B470" i="15"/>
  <c r="B469" i="15"/>
  <c r="B468" i="15"/>
  <c r="B467" i="15"/>
  <c r="B466" i="15"/>
  <c r="B465" i="15"/>
  <c r="B464" i="15"/>
  <c r="B463" i="15"/>
  <c r="B462" i="15"/>
  <c r="B461" i="15"/>
  <c r="B460" i="15"/>
  <c r="B459" i="15"/>
  <c r="B458" i="15"/>
  <c r="B457" i="15"/>
  <c r="B456" i="15"/>
  <c r="B455" i="15"/>
  <c r="B454" i="15"/>
  <c r="B453" i="15"/>
  <c r="B452" i="15"/>
  <c r="B451" i="15"/>
  <c r="B450" i="15"/>
  <c r="B449" i="15"/>
  <c r="B448" i="15"/>
  <c r="B447" i="15"/>
  <c r="B446" i="15"/>
  <c r="B445" i="15"/>
  <c r="B444" i="15"/>
  <c r="B443" i="15"/>
  <c r="B442" i="15"/>
  <c r="B441" i="15"/>
  <c r="B440" i="15"/>
  <c r="B439" i="15"/>
  <c r="B438" i="15"/>
  <c r="B437" i="15"/>
  <c r="B436" i="15"/>
  <c r="B435" i="15"/>
  <c r="B434" i="15"/>
  <c r="B433" i="15"/>
  <c r="B432" i="15"/>
  <c r="B431" i="15"/>
  <c r="B430" i="15"/>
  <c r="B429" i="15"/>
  <c r="B428" i="15"/>
  <c r="B427" i="15"/>
  <c r="B426" i="15"/>
  <c r="B425" i="15"/>
  <c r="B424" i="15"/>
  <c r="B423" i="15"/>
  <c r="B422" i="15"/>
  <c r="B421" i="15"/>
  <c r="B420" i="15"/>
  <c r="B419" i="15"/>
  <c r="B418" i="15"/>
  <c r="B417" i="15"/>
  <c r="B416" i="15"/>
  <c r="B415" i="15"/>
  <c r="B414" i="15"/>
  <c r="B413" i="15"/>
  <c r="B412" i="15"/>
  <c r="B411" i="15"/>
  <c r="B410" i="15"/>
  <c r="B409" i="15"/>
  <c r="B408" i="15"/>
  <c r="B407" i="15"/>
  <c r="B406" i="15"/>
  <c r="B405" i="15"/>
  <c r="B404" i="15"/>
  <c r="B403" i="15"/>
  <c r="B402" i="15"/>
  <c r="B401" i="15"/>
  <c r="B400" i="15"/>
  <c r="B399" i="15"/>
  <c r="B398" i="15"/>
  <c r="B397" i="15"/>
  <c r="B396" i="15"/>
  <c r="B395" i="15"/>
  <c r="B394" i="15"/>
  <c r="B393" i="15"/>
  <c r="B392" i="15"/>
  <c r="B391" i="15"/>
  <c r="B390" i="15"/>
  <c r="B389" i="15"/>
  <c r="B388" i="15"/>
  <c r="B387" i="15"/>
  <c r="B386" i="15"/>
  <c r="B385" i="15"/>
  <c r="B384" i="15"/>
  <c r="B383" i="15"/>
  <c r="B382" i="15"/>
  <c r="B381" i="15"/>
  <c r="B380" i="15"/>
  <c r="B379" i="15"/>
  <c r="B378" i="15"/>
  <c r="B377" i="15"/>
  <c r="B376" i="15"/>
  <c r="B375" i="15"/>
  <c r="B374" i="15"/>
  <c r="B373" i="15"/>
  <c r="B372" i="15"/>
  <c r="B371" i="15"/>
  <c r="B370" i="15"/>
  <c r="B369" i="15"/>
  <c r="B368" i="15"/>
  <c r="B367" i="15"/>
  <c r="B366" i="15"/>
  <c r="B365" i="15"/>
  <c r="B364" i="15"/>
  <c r="B363" i="15"/>
  <c r="B362" i="15"/>
  <c r="B361" i="15"/>
  <c r="B360" i="15"/>
  <c r="B359" i="15"/>
  <c r="B358" i="15"/>
  <c r="B357" i="15"/>
  <c r="B356" i="15"/>
  <c r="B355" i="15"/>
  <c r="B354" i="15"/>
  <c r="B353" i="15"/>
  <c r="B352" i="15"/>
  <c r="B351" i="15"/>
  <c r="B350" i="15"/>
  <c r="B349" i="15"/>
  <c r="B348" i="15"/>
  <c r="B347" i="15"/>
  <c r="B346" i="15"/>
  <c r="B345" i="15"/>
  <c r="B344" i="15"/>
  <c r="B343" i="15"/>
  <c r="B342" i="15"/>
  <c r="B341" i="15"/>
  <c r="B340" i="15"/>
  <c r="B339" i="15"/>
  <c r="B338" i="15"/>
  <c r="B337" i="15"/>
  <c r="B336" i="15"/>
  <c r="B335" i="15"/>
  <c r="B334" i="15"/>
  <c r="B333" i="15"/>
  <c r="B332" i="15"/>
  <c r="B331" i="15"/>
  <c r="B330" i="15"/>
  <c r="B329" i="15"/>
  <c r="B328" i="15"/>
  <c r="B327" i="15"/>
  <c r="B326" i="15"/>
  <c r="B325" i="15"/>
  <c r="B324" i="15"/>
  <c r="B323" i="15"/>
  <c r="B322" i="15"/>
  <c r="B321" i="15"/>
  <c r="B320" i="15"/>
  <c r="B319" i="15"/>
  <c r="B318" i="15"/>
  <c r="B317" i="15"/>
  <c r="B316" i="15"/>
  <c r="B315" i="15"/>
  <c r="B314" i="15"/>
  <c r="B313" i="15"/>
  <c r="B312" i="15"/>
  <c r="B311" i="15"/>
  <c r="B310" i="15"/>
  <c r="B309" i="15"/>
  <c r="B308" i="15"/>
  <c r="B307" i="15"/>
  <c r="B306" i="15"/>
  <c r="B305" i="15"/>
  <c r="B304" i="15"/>
  <c r="B303" i="15"/>
  <c r="B302" i="15"/>
  <c r="B301" i="15"/>
  <c r="B300" i="15"/>
  <c r="B299" i="15"/>
  <c r="B298" i="15"/>
  <c r="B297" i="15"/>
  <c r="B296" i="15"/>
  <c r="B295" i="15"/>
  <c r="B294" i="15"/>
  <c r="B293" i="15"/>
  <c r="B292" i="15"/>
  <c r="B291" i="15"/>
  <c r="B290" i="15"/>
  <c r="B289" i="15"/>
  <c r="B288" i="15"/>
  <c r="B287" i="15"/>
  <c r="B286" i="15"/>
  <c r="B285" i="15"/>
  <c r="B284" i="15"/>
  <c r="B283" i="15"/>
  <c r="B282" i="15"/>
  <c r="B281" i="15"/>
  <c r="B280" i="15"/>
  <c r="B279" i="15"/>
  <c r="B278" i="15"/>
  <c r="B277" i="15"/>
  <c r="B276" i="15"/>
  <c r="B275" i="15"/>
  <c r="B274" i="15"/>
  <c r="B273" i="15"/>
  <c r="B272" i="15"/>
  <c r="B271" i="15"/>
  <c r="B270" i="15"/>
  <c r="B269" i="15"/>
  <c r="B268" i="15"/>
  <c r="B267" i="15"/>
  <c r="B266" i="15"/>
  <c r="B265" i="15"/>
  <c r="B264" i="15"/>
  <c r="B263" i="15"/>
  <c r="B262" i="15"/>
  <c r="B261" i="15"/>
  <c r="B260" i="15"/>
  <c r="B259" i="15"/>
  <c r="B258" i="15"/>
  <c r="B257" i="15"/>
  <c r="B256" i="15"/>
  <c r="B255" i="15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J27" i="15"/>
  <c r="B27" i="15"/>
  <c r="J26" i="15"/>
  <c r="B26" i="15"/>
  <c r="J25" i="15"/>
  <c r="B25" i="15"/>
  <c r="B24" i="15"/>
  <c r="B23" i="15"/>
  <c r="J22" i="15"/>
  <c r="B22" i="15"/>
  <c r="B21" i="15"/>
  <c r="J20" i="15"/>
  <c r="B20" i="15"/>
  <c r="B19" i="15"/>
  <c r="B18" i="15"/>
  <c r="B17" i="15"/>
  <c r="B16" i="15"/>
  <c r="J15" i="15"/>
  <c r="B15" i="15"/>
  <c r="B14" i="15"/>
  <c r="J13" i="15"/>
  <c r="B13" i="15"/>
  <c r="B12" i="15"/>
  <c r="B11" i="15"/>
  <c r="B10" i="15"/>
  <c r="B9" i="15"/>
  <c r="B8" i="15"/>
  <c r="B7" i="15"/>
  <c r="B6" i="15"/>
  <c r="B5" i="15"/>
  <c r="B4" i="15"/>
  <c r="B2445" i="14"/>
  <c r="B2444" i="14"/>
  <c r="B2443" i="14"/>
  <c r="B2442" i="14"/>
  <c r="B2441" i="14"/>
  <c r="B2440" i="14"/>
  <c r="B2439" i="14"/>
  <c r="B2438" i="14"/>
  <c r="B2437" i="14"/>
  <c r="B2436" i="14"/>
  <c r="B2435" i="14"/>
  <c r="B2434" i="14"/>
  <c r="B2433" i="14"/>
  <c r="B2432" i="14"/>
  <c r="B2431" i="14"/>
  <c r="B2430" i="14"/>
  <c r="B2429" i="14"/>
  <c r="B2428" i="14"/>
  <c r="B2427" i="14"/>
  <c r="B2426" i="14"/>
  <c r="B2425" i="14"/>
  <c r="B2424" i="14"/>
  <c r="B2423" i="14"/>
  <c r="B2422" i="14"/>
  <c r="B2421" i="14"/>
  <c r="B2420" i="14"/>
  <c r="B2419" i="14"/>
  <c r="B2418" i="14"/>
  <c r="B2417" i="14"/>
  <c r="B2416" i="14"/>
  <c r="B2415" i="14"/>
  <c r="B2414" i="14"/>
  <c r="B2413" i="14"/>
  <c r="B2412" i="14"/>
  <c r="B2411" i="14"/>
  <c r="B2410" i="14"/>
  <c r="B2409" i="14"/>
  <c r="B2408" i="14"/>
  <c r="B2407" i="14"/>
  <c r="B2406" i="14"/>
  <c r="B2405" i="14"/>
  <c r="B2404" i="14"/>
  <c r="B2403" i="14"/>
  <c r="B2402" i="14"/>
  <c r="B2401" i="14"/>
  <c r="B2400" i="14"/>
  <c r="B2399" i="14"/>
  <c r="B2398" i="14"/>
  <c r="B2397" i="14"/>
  <c r="B2396" i="14"/>
  <c r="B2395" i="14"/>
  <c r="B2394" i="14"/>
  <c r="B2393" i="14"/>
  <c r="B2392" i="14"/>
  <c r="B2391" i="14"/>
  <c r="B2390" i="14"/>
  <c r="B2389" i="14"/>
  <c r="B2388" i="14"/>
  <c r="B2387" i="14"/>
  <c r="B2386" i="14"/>
  <c r="B2385" i="14"/>
  <c r="B2384" i="14"/>
  <c r="B2383" i="14"/>
  <c r="B2382" i="14"/>
  <c r="B2381" i="14"/>
  <c r="B2380" i="14"/>
  <c r="B2379" i="14"/>
  <c r="B2378" i="14"/>
  <c r="B2377" i="14"/>
  <c r="B2376" i="14"/>
  <c r="B2375" i="14"/>
  <c r="B2374" i="14"/>
  <c r="B2373" i="14"/>
  <c r="B2372" i="14"/>
  <c r="B2371" i="14"/>
  <c r="B2370" i="14"/>
  <c r="B2369" i="14"/>
  <c r="B2368" i="14"/>
  <c r="B2367" i="14"/>
  <c r="B2366" i="14"/>
  <c r="B2365" i="14"/>
  <c r="B2364" i="14"/>
  <c r="B2363" i="14"/>
  <c r="B2362" i="14"/>
  <c r="B2361" i="14"/>
  <c r="B2360" i="14"/>
  <c r="B2359" i="14"/>
  <c r="B2358" i="14"/>
  <c r="B2357" i="14"/>
  <c r="B2356" i="14"/>
  <c r="B2355" i="14"/>
  <c r="B2354" i="14"/>
  <c r="B2353" i="14"/>
  <c r="B2352" i="14"/>
  <c r="B2351" i="14"/>
  <c r="B2350" i="14"/>
  <c r="B2349" i="14"/>
  <c r="B2348" i="14"/>
  <c r="B2347" i="14"/>
  <c r="B2346" i="14"/>
  <c r="B2345" i="14"/>
  <c r="B2344" i="14"/>
  <c r="B2343" i="14"/>
  <c r="B2342" i="14"/>
  <c r="B2341" i="14"/>
  <c r="B2340" i="14"/>
  <c r="B2339" i="14"/>
  <c r="B2338" i="14"/>
  <c r="B2337" i="14"/>
  <c r="B2336" i="14"/>
  <c r="B2335" i="14"/>
  <c r="B2334" i="14"/>
  <c r="B2333" i="14"/>
  <c r="B2332" i="14"/>
  <c r="B2331" i="14"/>
  <c r="B2330" i="14"/>
  <c r="B2329" i="14"/>
  <c r="B2328" i="14"/>
  <c r="B2327" i="14"/>
  <c r="B2326" i="14"/>
  <c r="B2325" i="14"/>
  <c r="B2324" i="14"/>
  <c r="B2323" i="14"/>
  <c r="B2322" i="14"/>
  <c r="B2321" i="14"/>
  <c r="B2320" i="14"/>
  <c r="B2319" i="14"/>
  <c r="B2318" i="14"/>
  <c r="B2317" i="14"/>
  <c r="B2316" i="14"/>
  <c r="B2315" i="14"/>
  <c r="B2314" i="14"/>
  <c r="B2313" i="14"/>
  <c r="B2312" i="14"/>
  <c r="B2311" i="14"/>
  <c r="B2310" i="14"/>
  <c r="B2309" i="14"/>
  <c r="B2308" i="14"/>
  <c r="B2307" i="14"/>
  <c r="B2306" i="14"/>
  <c r="B2305" i="14"/>
  <c r="B2304" i="14"/>
  <c r="B2303" i="14"/>
  <c r="B2302" i="14"/>
  <c r="B2301" i="14"/>
  <c r="B2300" i="14"/>
  <c r="B2299" i="14"/>
  <c r="B2298" i="14"/>
  <c r="B2297" i="14"/>
  <c r="B2296" i="14"/>
  <c r="B2295" i="14"/>
  <c r="B2294" i="14"/>
  <c r="B2293" i="14"/>
  <c r="B2292" i="14"/>
  <c r="B2291" i="14"/>
  <c r="B2290" i="14"/>
  <c r="B2289" i="14"/>
  <c r="B2288" i="14"/>
  <c r="B2287" i="14"/>
  <c r="B2286" i="14"/>
  <c r="B2285" i="14"/>
  <c r="B2284" i="14"/>
  <c r="B2283" i="14"/>
  <c r="B2282" i="14"/>
  <c r="B2281" i="14"/>
  <c r="B2280" i="14"/>
  <c r="B2279" i="14"/>
  <c r="B2278" i="14"/>
  <c r="B2277" i="14"/>
  <c r="B2276" i="14"/>
  <c r="B2275" i="14"/>
  <c r="B2274" i="14"/>
  <c r="B2273" i="14"/>
  <c r="B2272" i="14"/>
  <c r="B2271" i="14"/>
  <c r="B2270" i="14"/>
  <c r="B2269" i="14"/>
  <c r="B2268" i="14"/>
  <c r="B2267" i="14"/>
  <c r="B2266" i="14"/>
  <c r="B2265" i="14"/>
  <c r="B2264" i="14"/>
  <c r="B2263" i="14"/>
  <c r="B2262" i="14"/>
  <c r="B2261" i="14"/>
  <c r="B2260" i="14"/>
  <c r="B2259" i="14"/>
  <c r="B2258" i="14"/>
  <c r="B2257" i="14"/>
  <c r="B2256" i="14"/>
  <c r="B2255" i="14"/>
  <c r="B2254" i="14"/>
  <c r="B2253" i="14"/>
  <c r="B2252" i="14"/>
  <c r="B2251" i="14"/>
  <c r="B2250" i="14"/>
  <c r="B2249" i="14"/>
  <c r="B2248" i="14"/>
  <c r="B2247" i="14"/>
  <c r="B2246" i="14"/>
  <c r="B2245" i="14"/>
  <c r="B2244" i="14"/>
  <c r="B2243" i="14"/>
  <c r="B2242" i="14"/>
  <c r="B2241" i="14"/>
  <c r="B2240" i="14"/>
  <c r="B2239" i="14"/>
  <c r="B2238" i="14"/>
  <c r="B2237" i="14"/>
  <c r="B2236" i="14"/>
  <c r="B2235" i="14"/>
  <c r="B2234" i="14"/>
  <c r="B2233" i="14"/>
  <c r="B2232" i="14"/>
  <c r="B2231" i="14"/>
  <c r="B2230" i="14"/>
  <c r="B2229" i="14"/>
  <c r="B2228" i="14"/>
  <c r="B2227" i="14"/>
  <c r="B2226" i="14"/>
  <c r="B2225" i="14"/>
  <c r="B2224" i="14"/>
  <c r="B2223" i="14"/>
  <c r="B2222" i="14"/>
  <c r="B2221" i="14"/>
  <c r="B2220" i="14"/>
  <c r="B2219" i="14"/>
  <c r="B2218" i="14"/>
  <c r="B2217" i="14"/>
  <c r="B2216" i="14"/>
  <c r="B2215" i="14"/>
  <c r="B2214" i="14"/>
  <c r="B2213" i="14"/>
  <c r="B2212" i="14"/>
  <c r="B2211" i="14"/>
  <c r="B2210" i="14"/>
  <c r="B2209" i="14"/>
  <c r="B2208" i="14"/>
  <c r="B2207" i="14"/>
  <c r="B2206" i="14"/>
  <c r="B2205" i="14"/>
  <c r="B2204" i="14"/>
  <c r="B2203" i="14"/>
  <c r="B2202" i="14"/>
  <c r="B2201" i="14"/>
  <c r="B2200" i="14"/>
  <c r="B2199" i="14"/>
  <c r="B2198" i="14"/>
  <c r="B2197" i="14"/>
  <c r="B2196" i="14"/>
  <c r="B2195" i="14"/>
  <c r="B2194" i="14"/>
  <c r="B2193" i="14"/>
  <c r="B2192" i="14"/>
  <c r="B2191" i="14"/>
  <c r="B2190" i="14"/>
  <c r="B2189" i="14"/>
  <c r="B2188" i="14"/>
  <c r="B2187" i="14"/>
  <c r="B2186" i="14"/>
  <c r="B2185" i="14"/>
  <c r="B2184" i="14"/>
  <c r="B2183" i="14"/>
  <c r="B2182" i="14"/>
  <c r="B2181" i="14"/>
  <c r="B2180" i="14"/>
  <c r="B2179" i="14"/>
  <c r="B2178" i="14"/>
  <c r="B2177" i="14"/>
  <c r="B2176" i="14"/>
  <c r="B2175" i="14"/>
  <c r="B2174" i="14"/>
  <c r="B2173" i="14"/>
  <c r="B2172" i="14"/>
  <c r="B2171" i="14"/>
  <c r="B2170" i="14"/>
  <c r="B2169" i="14"/>
  <c r="B2168" i="14"/>
  <c r="B2167" i="14"/>
  <c r="B2166" i="14"/>
  <c r="B2165" i="14"/>
  <c r="B2164" i="14"/>
  <c r="B2163" i="14"/>
  <c r="B2162" i="14"/>
  <c r="B2161" i="14"/>
  <c r="B2160" i="14"/>
  <c r="B2159" i="14"/>
  <c r="B2158" i="14"/>
  <c r="B2157" i="14"/>
  <c r="B2156" i="14"/>
  <c r="B2155" i="14"/>
  <c r="B2154" i="14"/>
  <c r="B2153" i="14"/>
  <c r="B2152" i="14"/>
  <c r="B2151" i="14"/>
  <c r="B2150" i="14"/>
  <c r="B2149" i="14"/>
  <c r="B2148" i="14"/>
  <c r="B2147" i="14"/>
  <c r="B2146" i="14"/>
  <c r="B2145" i="14"/>
  <c r="B2144" i="14"/>
  <c r="B2143" i="14"/>
  <c r="B2142" i="14"/>
  <c r="B2141" i="14"/>
  <c r="B2140" i="14"/>
  <c r="B2139" i="14"/>
  <c r="B2138" i="14"/>
  <c r="B2137" i="14"/>
  <c r="B2136" i="14"/>
  <c r="B2135" i="14"/>
  <c r="B2134" i="14"/>
  <c r="B2133" i="14"/>
  <c r="B2132" i="14"/>
  <c r="B2131" i="14"/>
  <c r="B2130" i="14"/>
  <c r="B2129" i="14"/>
  <c r="B2128" i="14"/>
  <c r="B2127" i="14"/>
  <c r="B2126" i="14"/>
  <c r="B2125" i="14"/>
  <c r="B2124" i="14"/>
  <c r="B2123" i="14"/>
  <c r="B2122" i="14"/>
  <c r="B2121" i="14"/>
  <c r="B2120" i="14"/>
  <c r="B2119" i="14"/>
  <c r="B2118" i="14"/>
  <c r="B2117" i="14"/>
  <c r="B2116" i="14"/>
  <c r="B2115" i="14"/>
  <c r="B2114" i="14"/>
  <c r="B2113" i="14"/>
  <c r="B2112" i="14"/>
  <c r="B2111" i="14"/>
  <c r="B2110" i="14"/>
  <c r="B2109" i="14"/>
  <c r="B2108" i="14"/>
  <c r="B2107" i="14"/>
  <c r="B2106" i="14"/>
  <c r="B2105" i="14"/>
  <c r="B2104" i="14"/>
  <c r="B2103" i="14"/>
  <c r="B2102" i="14"/>
  <c r="B2101" i="14"/>
  <c r="B2100" i="14"/>
  <c r="B2099" i="14"/>
  <c r="B2098" i="14"/>
  <c r="B2097" i="14"/>
  <c r="B2096" i="14"/>
  <c r="B2095" i="14"/>
  <c r="B2094" i="14"/>
  <c r="B2093" i="14"/>
  <c r="B2092" i="14"/>
  <c r="B2091" i="14"/>
  <c r="B2090" i="14"/>
  <c r="B2089" i="14"/>
  <c r="B2088" i="14"/>
  <c r="B2087" i="14"/>
  <c r="B2086" i="14"/>
  <c r="B2085" i="14"/>
  <c r="B2084" i="14"/>
  <c r="B2083" i="14"/>
  <c r="B2082" i="14"/>
  <c r="B2081" i="14"/>
  <c r="B2080" i="14"/>
  <c r="B2079" i="14"/>
  <c r="B2078" i="14"/>
  <c r="B2077" i="14"/>
  <c r="B2076" i="14"/>
  <c r="B2075" i="14"/>
  <c r="B2074" i="14"/>
  <c r="B2073" i="14"/>
  <c r="B2072" i="14"/>
  <c r="B2071" i="14"/>
  <c r="B2070" i="14"/>
  <c r="B2069" i="14"/>
  <c r="B2068" i="14"/>
  <c r="B2067" i="14"/>
  <c r="B2066" i="14"/>
  <c r="B2065" i="14"/>
  <c r="B2064" i="14"/>
  <c r="B2063" i="14"/>
  <c r="B2062" i="14"/>
  <c r="B2061" i="14"/>
  <c r="B2060" i="14"/>
  <c r="B2059" i="14"/>
  <c r="B2058" i="14"/>
  <c r="B2057" i="14"/>
  <c r="B2056" i="14"/>
  <c r="B2055" i="14"/>
  <c r="B2054" i="14"/>
  <c r="B2053" i="14"/>
  <c r="B2052" i="14"/>
  <c r="B2051" i="14"/>
  <c r="B2050" i="14"/>
  <c r="B2049" i="14"/>
  <c r="B2048" i="14"/>
  <c r="B2047" i="14"/>
  <c r="B2046" i="14"/>
  <c r="B2045" i="14"/>
  <c r="B2044" i="14"/>
  <c r="B2043" i="14"/>
  <c r="B2042" i="14"/>
  <c r="B2041" i="14"/>
  <c r="B2040" i="14"/>
  <c r="B2039" i="14"/>
  <c r="B2038" i="14"/>
  <c r="B2037" i="14"/>
  <c r="B2036" i="14"/>
  <c r="B2035" i="14"/>
  <c r="B2034" i="14"/>
  <c r="B2033" i="14"/>
  <c r="B2032" i="14"/>
  <c r="B2031" i="14"/>
  <c r="B2030" i="14"/>
  <c r="B2029" i="14"/>
  <c r="B2028" i="14"/>
  <c r="B2027" i="14"/>
  <c r="B2026" i="14"/>
  <c r="B2025" i="14"/>
  <c r="B2024" i="14"/>
  <c r="B2023" i="14"/>
  <c r="B2022" i="14"/>
  <c r="B2021" i="14"/>
  <c r="B2020" i="14"/>
  <c r="B2019" i="14"/>
  <c r="B2018" i="14"/>
  <c r="B2017" i="14"/>
  <c r="B2016" i="14"/>
  <c r="B2015" i="14"/>
  <c r="B2014" i="14"/>
  <c r="B2013" i="14"/>
  <c r="B2012" i="14"/>
  <c r="B2011" i="14"/>
  <c r="B2010" i="14"/>
  <c r="B2009" i="14"/>
  <c r="B2008" i="14"/>
  <c r="B2007" i="14"/>
  <c r="B2006" i="14"/>
  <c r="B2005" i="14"/>
  <c r="B2004" i="14"/>
  <c r="B2003" i="14"/>
  <c r="B2002" i="14"/>
  <c r="B2001" i="14"/>
  <c r="B2000" i="14"/>
  <c r="B1999" i="14"/>
  <c r="B1998" i="14"/>
  <c r="B1997" i="14"/>
  <c r="B1996" i="14"/>
  <c r="B1995" i="14"/>
  <c r="B1994" i="14"/>
  <c r="B1993" i="14"/>
  <c r="B1992" i="14"/>
  <c r="B1991" i="14"/>
  <c r="B1990" i="14"/>
  <c r="B1989" i="14"/>
  <c r="B1988" i="14"/>
  <c r="B1987" i="14"/>
  <c r="B1986" i="14"/>
  <c r="B1985" i="14"/>
  <c r="B1984" i="14"/>
  <c r="B1983" i="14"/>
  <c r="B1982" i="14"/>
  <c r="B1981" i="14"/>
  <c r="B1980" i="14"/>
  <c r="B1979" i="14"/>
  <c r="B1978" i="14"/>
  <c r="B1977" i="14"/>
  <c r="B1976" i="14"/>
  <c r="B1975" i="14"/>
  <c r="B1974" i="14"/>
  <c r="B1973" i="14"/>
  <c r="B1972" i="14"/>
  <c r="B1971" i="14"/>
  <c r="B1970" i="14"/>
  <c r="B1969" i="14"/>
  <c r="B1968" i="14"/>
  <c r="B1967" i="14"/>
  <c r="B1966" i="14"/>
  <c r="B1965" i="14"/>
  <c r="B1964" i="14"/>
  <c r="B1963" i="14"/>
  <c r="B1962" i="14"/>
  <c r="B1961" i="14"/>
  <c r="B1960" i="14"/>
  <c r="B1959" i="14"/>
  <c r="B1958" i="14"/>
  <c r="B1957" i="14"/>
  <c r="B1956" i="14"/>
  <c r="B1955" i="14"/>
  <c r="B1954" i="14"/>
  <c r="B1953" i="14"/>
  <c r="B1952" i="14"/>
  <c r="B1951" i="14"/>
  <c r="B1950" i="14"/>
  <c r="B1949" i="14"/>
  <c r="B1948" i="14"/>
  <c r="B1947" i="14"/>
  <c r="B1946" i="14"/>
  <c r="B1945" i="14"/>
  <c r="B1944" i="14"/>
  <c r="B1943" i="14"/>
  <c r="B1942" i="14"/>
  <c r="B1941" i="14"/>
  <c r="B1940" i="14"/>
  <c r="B1939" i="14"/>
  <c r="B1938" i="14"/>
  <c r="B1937" i="14"/>
  <c r="B1936" i="14"/>
  <c r="B1935" i="14"/>
  <c r="B1934" i="14"/>
  <c r="B1933" i="14"/>
  <c r="B1932" i="14"/>
  <c r="B1931" i="14"/>
  <c r="B1930" i="14"/>
  <c r="B1929" i="14"/>
  <c r="B1928" i="14"/>
  <c r="B1927" i="14"/>
  <c r="B1926" i="14"/>
  <c r="B1925" i="14"/>
  <c r="B1924" i="14"/>
  <c r="B1923" i="14"/>
  <c r="B1922" i="14"/>
  <c r="B1921" i="14"/>
  <c r="B1920" i="14"/>
  <c r="B1919" i="14"/>
  <c r="B1918" i="14"/>
  <c r="B1917" i="14"/>
  <c r="B1916" i="14"/>
  <c r="B1915" i="14"/>
  <c r="B1914" i="14"/>
  <c r="B1913" i="14"/>
  <c r="B1912" i="14"/>
  <c r="B1911" i="14"/>
  <c r="B1910" i="14"/>
  <c r="B1909" i="14"/>
  <c r="B1908" i="14"/>
  <c r="B1907" i="14"/>
  <c r="B1906" i="14"/>
  <c r="B1905" i="14"/>
  <c r="B1904" i="14"/>
  <c r="B1903" i="14"/>
  <c r="B1902" i="14"/>
  <c r="B1901" i="14"/>
  <c r="B1900" i="14"/>
  <c r="B1899" i="14"/>
  <c r="B1898" i="14"/>
  <c r="B1897" i="14"/>
  <c r="B1896" i="14"/>
  <c r="B1895" i="14"/>
  <c r="B1894" i="14"/>
  <c r="B1893" i="14"/>
  <c r="B1892" i="14"/>
  <c r="B1891" i="14"/>
  <c r="B1890" i="14"/>
  <c r="B1889" i="14"/>
  <c r="B1888" i="14"/>
  <c r="B1887" i="14"/>
  <c r="B1886" i="14"/>
  <c r="B1885" i="14"/>
  <c r="B1884" i="14"/>
  <c r="B1883" i="14"/>
  <c r="B1882" i="14"/>
  <c r="B1881" i="14"/>
  <c r="B1880" i="14"/>
  <c r="B1879" i="14"/>
  <c r="B1878" i="14"/>
  <c r="B1877" i="14"/>
  <c r="B1876" i="14"/>
  <c r="B1875" i="14"/>
  <c r="B1874" i="14"/>
  <c r="B1873" i="14"/>
  <c r="B1872" i="14"/>
  <c r="B1871" i="14"/>
  <c r="B1870" i="14"/>
  <c r="B1869" i="14"/>
  <c r="B1868" i="14"/>
  <c r="B1867" i="14"/>
  <c r="B1866" i="14"/>
  <c r="B1865" i="14"/>
  <c r="B1864" i="14"/>
  <c r="B1863" i="14"/>
  <c r="B1862" i="14"/>
  <c r="B1861" i="14"/>
  <c r="B1860" i="14"/>
  <c r="B1859" i="14"/>
  <c r="B1858" i="14"/>
  <c r="B1857" i="14"/>
  <c r="B1856" i="14"/>
  <c r="B1855" i="14"/>
  <c r="B1854" i="14"/>
  <c r="B1853" i="14"/>
  <c r="B1852" i="14"/>
  <c r="B1851" i="14"/>
  <c r="B1850" i="14"/>
  <c r="B1849" i="14"/>
  <c r="B1848" i="14"/>
  <c r="B1847" i="14"/>
  <c r="B1846" i="14"/>
  <c r="B1845" i="14"/>
  <c r="B1844" i="14"/>
  <c r="B1843" i="14"/>
  <c r="B1842" i="14"/>
  <c r="B1841" i="14"/>
  <c r="B1840" i="14"/>
  <c r="B1839" i="14"/>
  <c r="B1838" i="14"/>
  <c r="B1837" i="14"/>
  <c r="B1836" i="14"/>
  <c r="B1835" i="14"/>
  <c r="B1834" i="14"/>
  <c r="B1833" i="14"/>
  <c r="B1832" i="14"/>
  <c r="B1831" i="14"/>
  <c r="B1830" i="14"/>
  <c r="B1829" i="14"/>
  <c r="B1828" i="14"/>
  <c r="B1827" i="14"/>
  <c r="B1826" i="14"/>
  <c r="B1825" i="14"/>
  <c r="B1824" i="14"/>
  <c r="B1823" i="14"/>
  <c r="B1822" i="14"/>
  <c r="B1821" i="14"/>
  <c r="B1820" i="14"/>
  <c r="B1819" i="14"/>
  <c r="B1818" i="14"/>
  <c r="B1817" i="14"/>
  <c r="B1816" i="14"/>
  <c r="B1815" i="14"/>
  <c r="B1814" i="14"/>
  <c r="B1813" i="14"/>
  <c r="B1812" i="14"/>
  <c r="B1811" i="14"/>
  <c r="B1810" i="14"/>
  <c r="B1809" i="14"/>
  <c r="B1808" i="14"/>
  <c r="B1807" i="14"/>
  <c r="B1806" i="14"/>
  <c r="B1805" i="14"/>
  <c r="B1804" i="14"/>
  <c r="B1803" i="14"/>
  <c r="B1802" i="14"/>
  <c r="B1801" i="14"/>
  <c r="B1800" i="14"/>
  <c r="B1799" i="14"/>
  <c r="B1798" i="14"/>
  <c r="B1797" i="14"/>
  <c r="B1796" i="14"/>
  <c r="B1795" i="14"/>
  <c r="B1794" i="14"/>
  <c r="B1793" i="14"/>
  <c r="B1792" i="14"/>
  <c r="B1791" i="14"/>
  <c r="B1790" i="14"/>
  <c r="B1789" i="14"/>
  <c r="B1788" i="14"/>
  <c r="B1787" i="14"/>
  <c r="B1786" i="14"/>
  <c r="B1785" i="14"/>
  <c r="B1784" i="14"/>
  <c r="B1783" i="14"/>
  <c r="B1782" i="14"/>
  <c r="B1781" i="14"/>
  <c r="B1780" i="14"/>
  <c r="B1779" i="14"/>
  <c r="B1778" i="14"/>
  <c r="B1777" i="14"/>
  <c r="B1776" i="14"/>
  <c r="B1775" i="14"/>
  <c r="B1774" i="14"/>
  <c r="B1773" i="14"/>
  <c r="B1772" i="14"/>
  <c r="B1771" i="14"/>
  <c r="B1770" i="14"/>
  <c r="B1769" i="14"/>
  <c r="B1768" i="14"/>
  <c r="B1767" i="14"/>
  <c r="B1766" i="14"/>
  <c r="B1765" i="14"/>
  <c r="B1764" i="14"/>
  <c r="B1763" i="14"/>
  <c r="B1762" i="14"/>
  <c r="B1761" i="14"/>
  <c r="B1760" i="14"/>
  <c r="B1759" i="14"/>
  <c r="B1758" i="14"/>
  <c r="B1757" i="14"/>
  <c r="B1756" i="14"/>
  <c r="B1755" i="14"/>
  <c r="B1754" i="14"/>
  <c r="B1753" i="14"/>
  <c r="B1752" i="14"/>
  <c r="B1751" i="14"/>
  <c r="B1750" i="14"/>
  <c r="B1749" i="14"/>
  <c r="B1748" i="14"/>
  <c r="B1747" i="14"/>
  <c r="B1746" i="14"/>
  <c r="B1745" i="14"/>
  <c r="B1744" i="14"/>
  <c r="B1743" i="14"/>
  <c r="B1742" i="14"/>
  <c r="B1741" i="14"/>
  <c r="B1740" i="14"/>
  <c r="B1739" i="14"/>
  <c r="B1738" i="14"/>
  <c r="B1737" i="14"/>
  <c r="B1736" i="14"/>
  <c r="B1735" i="14"/>
  <c r="B1734" i="14"/>
  <c r="B1733" i="14"/>
  <c r="B1732" i="14"/>
  <c r="B1731" i="14"/>
  <c r="B1730" i="14"/>
  <c r="B1729" i="14"/>
  <c r="B1728" i="14"/>
  <c r="B1727" i="14"/>
  <c r="B1726" i="14"/>
  <c r="B1725" i="14"/>
  <c r="B1724" i="14"/>
  <c r="B1723" i="14"/>
  <c r="B1722" i="14"/>
  <c r="B1721" i="14"/>
  <c r="B1720" i="14"/>
  <c r="B1719" i="14"/>
  <c r="B1718" i="14"/>
  <c r="B1717" i="14"/>
  <c r="B1716" i="14"/>
  <c r="B1715" i="14"/>
  <c r="B1714" i="14"/>
  <c r="B1713" i="14"/>
  <c r="B1712" i="14"/>
  <c r="B1711" i="14"/>
  <c r="B1710" i="14"/>
  <c r="B1709" i="14"/>
  <c r="B1708" i="14"/>
  <c r="B1707" i="14"/>
  <c r="B1706" i="14"/>
  <c r="B1705" i="14"/>
  <c r="B1704" i="14"/>
  <c r="B1703" i="14"/>
  <c r="B1702" i="14"/>
  <c r="B1701" i="14"/>
  <c r="B1700" i="14"/>
  <c r="B1699" i="14"/>
  <c r="B1698" i="14"/>
  <c r="B1697" i="14"/>
  <c r="B1696" i="14"/>
  <c r="B1695" i="14"/>
  <c r="B1694" i="14"/>
  <c r="B1693" i="14"/>
  <c r="B1692" i="14"/>
  <c r="B1691" i="14"/>
  <c r="B1690" i="14"/>
  <c r="B1689" i="14"/>
  <c r="B1688" i="14"/>
  <c r="B1687" i="14"/>
  <c r="B1686" i="14"/>
  <c r="B1685" i="14"/>
  <c r="B1684" i="14"/>
  <c r="B1683" i="14"/>
  <c r="B1682" i="14"/>
  <c r="B1681" i="14"/>
  <c r="B1680" i="14"/>
  <c r="B1679" i="14"/>
  <c r="B1678" i="14"/>
  <c r="B1677" i="14"/>
  <c r="B1676" i="14"/>
  <c r="B1675" i="14"/>
  <c r="B1674" i="14"/>
  <c r="B1673" i="14"/>
  <c r="B1672" i="14"/>
  <c r="B1671" i="14"/>
  <c r="B1670" i="14"/>
  <c r="B1669" i="14"/>
  <c r="B1668" i="14"/>
  <c r="B1667" i="14"/>
  <c r="B1666" i="14"/>
  <c r="B1665" i="14"/>
  <c r="B1664" i="14"/>
  <c r="B1663" i="14"/>
  <c r="B1662" i="14"/>
  <c r="B1661" i="14"/>
  <c r="B1660" i="14"/>
  <c r="B1659" i="14"/>
  <c r="B1658" i="14"/>
  <c r="B1657" i="14"/>
  <c r="B1656" i="14"/>
  <c r="B1655" i="14"/>
  <c r="B1654" i="14"/>
  <c r="B1653" i="14"/>
  <c r="B1652" i="14"/>
  <c r="B1651" i="14"/>
  <c r="B1650" i="14"/>
  <c r="B1649" i="14"/>
  <c r="B1648" i="14"/>
  <c r="B1647" i="14"/>
  <c r="B1646" i="14"/>
  <c r="B1645" i="14"/>
  <c r="B1644" i="14"/>
  <c r="B1643" i="14"/>
  <c r="B1642" i="14"/>
  <c r="B1641" i="14"/>
  <c r="B1640" i="14"/>
  <c r="B1639" i="14"/>
  <c r="B1638" i="14"/>
  <c r="B1637" i="14"/>
  <c r="B1636" i="14"/>
  <c r="B1635" i="14"/>
  <c r="B1634" i="14"/>
  <c r="B1633" i="14"/>
  <c r="B1632" i="14"/>
  <c r="B1631" i="14"/>
  <c r="B1630" i="14"/>
  <c r="B1629" i="14"/>
  <c r="B1628" i="14"/>
  <c r="B1627" i="14"/>
  <c r="B1626" i="14"/>
  <c r="B1625" i="14"/>
  <c r="B1624" i="14"/>
  <c r="B1623" i="14"/>
  <c r="B1622" i="14"/>
  <c r="B1621" i="14"/>
  <c r="B1620" i="14"/>
  <c r="B1619" i="14"/>
  <c r="B1618" i="14"/>
  <c r="B1617" i="14"/>
  <c r="B1616" i="14"/>
  <c r="B1615" i="14"/>
  <c r="B1614" i="14"/>
  <c r="B1613" i="14"/>
  <c r="B1612" i="14"/>
  <c r="B1611" i="14"/>
  <c r="B1610" i="14"/>
  <c r="B1609" i="14"/>
  <c r="B1608" i="14"/>
  <c r="B1607" i="14"/>
  <c r="B1606" i="14"/>
  <c r="B1605" i="14"/>
  <c r="B1604" i="14"/>
  <c r="B1603" i="14"/>
  <c r="B1602" i="14"/>
  <c r="B1601" i="14"/>
  <c r="B1600" i="14"/>
  <c r="B1599" i="14"/>
  <c r="B1598" i="14"/>
  <c r="B1597" i="14"/>
  <c r="B1596" i="14"/>
  <c r="B1595" i="14"/>
  <c r="B1594" i="14"/>
  <c r="B1593" i="14"/>
  <c r="B1592" i="14"/>
  <c r="B1591" i="14"/>
  <c r="B1590" i="14"/>
  <c r="B1589" i="14"/>
  <c r="B1588" i="14"/>
  <c r="B1587" i="14"/>
  <c r="B1586" i="14"/>
  <c r="B1585" i="14"/>
  <c r="B1584" i="14"/>
  <c r="B1583" i="14"/>
  <c r="B1582" i="14"/>
  <c r="B1581" i="14"/>
  <c r="B1580" i="14"/>
  <c r="B1579" i="14"/>
  <c r="B1578" i="14"/>
  <c r="B1577" i="14"/>
  <c r="B1576" i="14"/>
  <c r="B1575" i="14"/>
  <c r="B1574" i="14"/>
  <c r="B1573" i="14"/>
  <c r="B1572" i="14"/>
  <c r="B1571" i="14"/>
  <c r="B1570" i="14"/>
  <c r="B1569" i="14"/>
  <c r="B1568" i="14"/>
  <c r="B1567" i="14"/>
  <c r="B1566" i="14"/>
  <c r="B1565" i="14"/>
  <c r="B1564" i="14"/>
  <c r="B1563" i="14"/>
  <c r="B1562" i="14"/>
  <c r="B1561" i="14"/>
  <c r="B1560" i="14"/>
  <c r="B1559" i="14"/>
  <c r="B1558" i="14"/>
  <c r="B1557" i="14"/>
  <c r="B1556" i="14"/>
  <c r="B1555" i="14"/>
  <c r="B1554" i="14"/>
  <c r="B1553" i="14"/>
  <c r="B1552" i="14"/>
  <c r="B1551" i="14"/>
  <c r="B1550" i="14"/>
  <c r="B1549" i="14"/>
  <c r="B1548" i="14"/>
  <c r="B1547" i="14"/>
  <c r="B1546" i="14"/>
  <c r="B1545" i="14"/>
  <c r="B1544" i="14"/>
  <c r="B1543" i="14"/>
  <c r="B1542" i="14"/>
  <c r="B1541" i="14"/>
  <c r="B1540" i="14"/>
  <c r="B1539" i="14"/>
  <c r="B1538" i="14"/>
  <c r="B1537" i="14"/>
  <c r="B1536" i="14"/>
  <c r="B1535" i="14"/>
  <c r="B1534" i="14"/>
  <c r="B1533" i="14"/>
  <c r="B1532" i="14"/>
  <c r="B1531" i="14"/>
  <c r="B1530" i="14"/>
  <c r="B1529" i="14"/>
  <c r="B1528" i="14"/>
  <c r="B1527" i="14"/>
  <c r="B1526" i="14"/>
  <c r="B1525" i="14"/>
  <c r="B1524" i="14"/>
  <c r="B1523" i="14"/>
  <c r="B1522" i="14"/>
  <c r="B1521" i="14"/>
  <c r="B1520" i="14"/>
  <c r="B1519" i="14"/>
  <c r="B1518" i="14"/>
  <c r="B1517" i="14"/>
  <c r="B1516" i="14"/>
  <c r="B1515" i="14"/>
  <c r="B1514" i="14"/>
  <c r="B1513" i="14"/>
  <c r="B1512" i="14"/>
  <c r="B1511" i="14"/>
  <c r="B1510" i="14"/>
  <c r="B1509" i="14"/>
  <c r="B1508" i="14"/>
  <c r="B1507" i="14"/>
  <c r="B1506" i="14"/>
  <c r="B1505" i="14"/>
  <c r="B1504" i="14"/>
  <c r="B1503" i="14"/>
  <c r="B1502" i="14"/>
  <c r="B1501" i="14"/>
  <c r="B1500" i="14"/>
  <c r="B1499" i="14"/>
  <c r="B1498" i="14"/>
  <c r="B1497" i="14"/>
  <c r="B1496" i="14"/>
  <c r="B1495" i="14"/>
  <c r="B1494" i="14"/>
  <c r="B1493" i="14"/>
  <c r="B1492" i="14"/>
  <c r="B1491" i="14"/>
  <c r="B1490" i="14"/>
  <c r="B1489" i="14"/>
  <c r="B1488" i="14"/>
  <c r="B1487" i="14"/>
  <c r="B1486" i="14"/>
  <c r="B1485" i="14"/>
  <c r="B1484" i="14"/>
  <c r="B1483" i="14"/>
  <c r="B1482" i="14"/>
  <c r="B1481" i="14"/>
  <c r="B1480" i="14"/>
  <c r="B1479" i="14"/>
  <c r="B1478" i="14"/>
  <c r="B1477" i="14"/>
  <c r="B1476" i="14"/>
  <c r="B1475" i="14"/>
  <c r="B1474" i="14"/>
  <c r="B1473" i="14"/>
  <c r="B1472" i="14"/>
  <c r="B1471" i="14"/>
  <c r="B1470" i="14"/>
  <c r="B1469" i="14"/>
  <c r="B1468" i="14"/>
  <c r="B1467" i="14"/>
  <c r="B1466" i="14"/>
  <c r="B1465" i="14"/>
  <c r="B1464" i="14"/>
  <c r="B1463" i="14"/>
  <c r="B1462" i="14"/>
  <c r="B1461" i="14"/>
  <c r="B1460" i="14"/>
  <c r="B1459" i="14"/>
  <c r="B1458" i="14"/>
  <c r="B1457" i="14"/>
  <c r="B1456" i="14"/>
  <c r="B1455" i="14"/>
  <c r="B1454" i="14"/>
  <c r="B1453" i="14"/>
  <c r="B1452" i="14"/>
  <c r="B1451" i="14"/>
  <c r="B1450" i="14"/>
  <c r="B1449" i="14"/>
  <c r="B1448" i="14"/>
  <c r="B1447" i="14"/>
  <c r="B1446" i="14"/>
  <c r="B1445" i="14"/>
  <c r="B1444" i="14"/>
  <c r="B1443" i="14"/>
  <c r="B1442" i="14"/>
  <c r="B1441" i="14"/>
  <c r="B1440" i="14"/>
  <c r="B1439" i="14"/>
  <c r="B1438" i="14"/>
  <c r="B1437" i="14"/>
  <c r="B1436" i="14"/>
  <c r="B1435" i="14"/>
  <c r="B1434" i="14"/>
  <c r="B1433" i="14"/>
  <c r="B1432" i="14"/>
  <c r="B1431" i="14"/>
  <c r="B1430" i="14"/>
  <c r="B1429" i="14"/>
  <c r="B1428" i="14"/>
  <c r="B1427" i="14"/>
  <c r="B1426" i="14"/>
  <c r="B1425" i="14"/>
  <c r="B1424" i="14"/>
  <c r="B1423" i="14"/>
  <c r="B1422" i="14"/>
  <c r="B1421" i="14"/>
  <c r="B1420" i="14"/>
  <c r="B1419" i="14"/>
  <c r="B1418" i="14"/>
  <c r="B1417" i="14"/>
  <c r="B1416" i="14"/>
  <c r="B1415" i="14"/>
  <c r="B1414" i="14"/>
  <c r="B1413" i="14"/>
  <c r="B1412" i="14"/>
  <c r="B1411" i="14"/>
  <c r="B1410" i="14"/>
  <c r="B1409" i="14"/>
  <c r="B1408" i="14"/>
  <c r="B1407" i="14"/>
  <c r="B1406" i="14"/>
  <c r="B1405" i="14"/>
  <c r="B1404" i="14"/>
  <c r="B1403" i="14"/>
  <c r="B1402" i="14"/>
  <c r="B1401" i="14"/>
  <c r="B1400" i="14"/>
  <c r="B1399" i="14"/>
  <c r="B1398" i="14"/>
  <c r="B1397" i="14"/>
  <c r="B1396" i="14"/>
  <c r="B1395" i="14"/>
  <c r="B1394" i="14"/>
  <c r="B1393" i="14"/>
  <c r="B1392" i="14"/>
  <c r="B1391" i="14"/>
  <c r="B1390" i="14"/>
  <c r="B1389" i="14"/>
  <c r="B1388" i="14"/>
  <c r="B1387" i="14"/>
  <c r="B1386" i="14"/>
  <c r="B1385" i="14"/>
  <c r="B1384" i="14"/>
  <c r="B1383" i="14"/>
  <c r="B1382" i="14"/>
  <c r="B1381" i="14"/>
  <c r="B1380" i="14"/>
  <c r="B1379" i="14"/>
  <c r="B1378" i="14"/>
  <c r="B1377" i="14"/>
  <c r="B1376" i="14"/>
  <c r="B1375" i="14"/>
  <c r="B1374" i="14"/>
  <c r="B1373" i="14"/>
  <c r="B1372" i="14"/>
  <c r="B1371" i="14"/>
  <c r="B1370" i="14"/>
  <c r="B1369" i="14"/>
  <c r="B1368" i="14"/>
  <c r="B1367" i="14"/>
  <c r="B1366" i="14"/>
  <c r="B1365" i="14"/>
  <c r="B1364" i="14"/>
  <c r="B1363" i="14"/>
  <c r="B1362" i="14"/>
  <c r="B1361" i="14"/>
  <c r="B1360" i="14"/>
  <c r="B1359" i="14"/>
  <c r="B1358" i="14"/>
  <c r="B1357" i="14"/>
  <c r="B1356" i="14"/>
  <c r="B1355" i="14"/>
  <c r="B1354" i="14"/>
  <c r="B1353" i="14"/>
  <c r="B1352" i="14"/>
  <c r="B1351" i="14"/>
  <c r="B1350" i="14"/>
  <c r="B1349" i="14"/>
  <c r="B1348" i="14"/>
  <c r="B1347" i="14"/>
  <c r="B1346" i="14"/>
  <c r="B1345" i="14"/>
  <c r="B1344" i="14"/>
  <c r="B1343" i="14"/>
  <c r="B1342" i="14"/>
  <c r="B1341" i="14"/>
  <c r="B1340" i="14"/>
  <c r="B1339" i="14"/>
  <c r="B1338" i="14"/>
  <c r="B1337" i="14"/>
  <c r="B1336" i="14"/>
  <c r="B1335" i="14"/>
  <c r="B1334" i="14"/>
  <c r="B1333" i="14"/>
  <c r="B1332" i="14"/>
  <c r="B1331" i="14"/>
  <c r="B1330" i="14"/>
  <c r="B1329" i="14"/>
  <c r="B1328" i="14"/>
  <c r="B1327" i="14"/>
  <c r="B1326" i="14"/>
  <c r="B1325" i="14"/>
  <c r="B1324" i="14"/>
  <c r="B1323" i="14"/>
  <c r="B1322" i="14"/>
  <c r="B1321" i="14"/>
  <c r="B1320" i="14"/>
  <c r="B1319" i="14"/>
  <c r="B1318" i="14"/>
  <c r="B1317" i="14"/>
  <c r="B1316" i="14"/>
  <c r="B1315" i="14"/>
  <c r="B1314" i="14"/>
  <c r="B1313" i="14"/>
  <c r="B1312" i="14"/>
  <c r="B1311" i="14"/>
  <c r="B1310" i="14"/>
  <c r="B1309" i="14"/>
  <c r="B1308" i="14"/>
  <c r="B1307" i="14"/>
  <c r="B1306" i="14"/>
  <c r="B1305" i="14"/>
  <c r="B1304" i="14"/>
  <c r="B1303" i="14"/>
  <c r="B1302" i="14"/>
  <c r="B1301" i="14"/>
  <c r="B1300" i="14"/>
  <c r="B1299" i="14"/>
  <c r="B1298" i="14"/>
  <c r="B1297" i="14"/>
  <c r="B1296" i="14"/>
  <c r="B1295" i="14"/>
  <c r="B1294" i="14"/>
  <c r="B1293" i="14"/>
  <c r="B1292" i="14"/>
  <c r="B1291" i="14"/>
  <c r="B1290" i="14"/>
  <c r="B1289" i="14"/>
  <c r="B1288" i="14"/>
  <c r="B1287" i="14"/>
  <c r="B1286" i="14"/>
  <c r="B1285" i="14"/>
  <c r="B1284" i="14"/>
  <c r="B1283" i="14"/>
  <c r="B1282" i="14"/>
  <c r="B1281" i="14"/>
  <c r="B1280" i="14"/>
  <c r="B1279" i="14"/>
  <c r="B1278" i="14"/>
  <c r="B1277" i="14"/>
  <c r="B1276" i="14"/>
  <c r="B1275" i="14"/>
  <c r="B1274" i="14"/>
  <c r="B1273" i="14"/>
  <c r="B1272" i="14"/>
  <c r="B1271" i="14"/>
  <c r="B1270" i="14"/>
  <c r="B1269" i="14"/>
  <c r="B1268" i="14"/>
  <c r="B1267" i="14"/>
  <c r="B1266" i="14"/>
  <c r="B1265" i="14"/>
  <c r="B1264" i="14"/>
  <c r="B1263" i="14"/>
  <c r="B1262" i="14"/>
  <c r="B1261" i="14"/>
  <c r="B1260" i="14"/>
  <c r="B1259" i="14"/>
  <c r="B1258" i="14"/>
  <c r="B1257" i="14"/>
  <c r="B1256" i="14"/>
  <c r="B1255" i="14"/>
  <c r="B1254" i="14"/>
  <c r="B1253" i="14"/>
  <c r="B1252" i="14"/>
  <c r="B1251" i="14"/>
  <c r="B1250" i="14"/>
  <c r="B1249" i="14"/>
  <c r="B1248" i="14"/>
  <c r="B1247" i="14"/>
  <c r="B1246" i="14"/>
  <c r="B1245" i="14"/>
  <c r="B1244" i="14"/>
  <c r="B1243" i="14"/>
  <c r="B1242" i="14"/>
  <c r="B1241" i="14"/>
  <c r="B1240" i="14"/>
  <c r="B1239" i="14"/>
  <c r="B1238" i="14"/>
  <c r="B1237" i="14"/>
  <c r="B1236" i="14"/>
  <c r="B1235" i="14"/>
  <c r="B1234" i="14"/>
  <c r="B1233" i="14"/>
  <c r="B1232" i="14"/>
  <c r="B1231" i="14"/>
  <c r="B1230" i="14"/>
  <c r="B1229" i="14"/>
  <c r="B1228" i="14"/>
  <c r="B1227" i="14"/>
  <c r="B1226" i="14"/>
  <c r="B1225" i="14"/>
  <c r="B1224" i="14"/>
  <c r="B1223" i="14"/>
  <c r="B1222" i="14"/>
  <c r="B1221" i="14"/>
  <c r="B1220" i="14"/>
  <c r="B1219" i="14"/>
  <c r="B1218" i="14"/>
  <c r="B1217" i="14"/>
  <c r="B1216" i="14"/>
  <c r="B1215" i="14"/>
  <c r="B1214" i="14"/>
  <c r="B1213" i="14"/>
  <c r="B1212" i="14"/>
  <c r="B1211" i="14"/>
  <c r="B1210" i="14"/>
  <c r="B1209" i="14"/>
  <c r="B1208" i="14"/>
  <c r="B1207" i="14"/>
  <c r="B1206" i="14"/>
  <c r="B1205" i="14"/>
  <c r="B1204" i="14"/>
  <c r="B1203" i="14"/>
  <c r="B1202" i="14"/>
  <c r="B1201" i="14"/>
  <c r="B1200" i="14"/>
  <c r="B1199" i="14"/>
  <c r="B1198" i="14"/>
  <c r="B1197" i="14"/>
  <c r="B1196" i="14"/>
  <c r="B1195" i="14"/>
  <c r="B1194" i="14"/>
  <c r="B1193" i="14"/>
  <c r="B1192" i="14"/>
  <c r="B1191" i="14"/>
  <c r="B1190" i="14"/>
  <c r="B1189" i="14"/>
  <c r="B1188" i="14"/>
  <c r="B1187" i="14"/>
  <c r="B1186" i="14"/>
  <c r="B1185" i="14"/>
  <c r="B1184" i="14"/>
  <c r="B1183" i="14"/>
  <c r="B1182" i="14"/>
  <c r="B1181" i="14"/>
  <c r="B1180" i="14"/>
  <c r="B1179" i="14"/>
  <c r="B1178" i="14"/>
  <c r="B1177" i="14"/>
  <c r="B1176" i="14"/>
  <c r="B1175" i="14"/>
  <c r="B1174" i="14"/>
  <c r="B1173" i="14"/>
  <c r="B1172" i="14"/>
  <c r="B1171" i="14"/>
  <c r="B1170" i="14"/>
  <c r="B1169" i="14"/>
  <c r="B1168" i="14"/>
  <c r="B1167" i="14"/>
  <c r="B1166" i="14"/>
  <c r="B1165" i="14"/>
  <c r="B1164" i="14"/>
  <c r="B1163" i="14"/>
  <c r="B1162" i="14"/>
  <c r="B1161" i="14"/>
  <c r="B1160" i="14"/>
  <c r="B1159" i="14"/>
  <c r="B1158" i="14"/>
  <c r="B1157" i="14"/>
  <c r="B1156" i="14"/>
  <c r="B1155" i="14"/>
  <c r="B1154" i="14"/>
  <c r="B1153" i="14"/>
  <c r="B1152" i="14"/>
  <c r="B1151" i="14"/>
  <c r="B1150" i="14"/>
  <c r="B1149" i="14"/>
  <c r="B1148" i="14"/>
  <c r="B1147" i="14"/>
  <c r="B1146" i="14"/>
  <c r="B1145" i="14"/>
  <c r="B1144" i="14"/>
  <c r="B1143" i="14"/>
  <c r="B1142" i="14"/>
  <c r="B1141" i="14"/>
  <c r="B1140" i="14"/>
  <c r="B1139" i="14"/>
  <c r="B1138" i="14"/>
  <c r="B1137" i="14"/>
  <c r="B1136" i="14"/>
  <c r="B1135" i="14"/>
  <c r="B1134" i="14"/>
  <c r="B1133" i="14"/>
  <c r="B1132" i="14"/>
  <c r="B1131" i="14"/>
  <c r="B1130" i="14"/>
  <c r="B1129" i="14"/>
  <c r="B1128" i="14"/>
  <c r="B1127" i="14"/>
  <c r="B1126" i="14"/>
  <c r="B1125" i="14"/>
  <c r="B1124" i="14"/>
  <c r="B1123" i="14"/>
  <c r="B1122" i="14"/>
  <c r="B1121" i="14"/>
  <c r="B1120" i="14"/>
  <c r="B1119" i="14"/>
  <c r="B1118" i="14"/>
  <c r="B1117" i="14"/>
  <c r="B1116" i="14"/>
  <c r="B1115" i="14"/>
  <c r="B1114" i="14"/>
  <c r="B1113" i="14"/>
  <c r="B1112" i="14"/>
  <c r="B1111" i="14"/>
  <c r="B1110" i="14"/>
  <c r="B1109" i="14"/>
  <c r="B1108" i="14"/>
  <c r="B1107" i="14"/>
  <c r="B1106" i="14"/>
  <c r="B1105" i="14"/>
  <c r="B1104" i="14"/>
  <c r="B1103" i="14"/>
  <c r="B1102" i="14"/>
  <c r="B1101" i="14"/>
  <c r="B1100" i="14"/>
  <c r="B1099" i="14"/>
  <c r="B1098" i="14"/>
  <c r="B1097" i="14"/>
  <c r="B1096" i="14"/>
  <c r="B1095" i="14"/>
  <c r="B1094" i="14"/>
  <c r="B1093" i="14"/>
  <c r="B1092" i="14"/>
  <c r="B1091" i="14"/>
  <c r="B1090" i="14"/>
  <c r="B1089" i="14"/>
  <c r="B1088" i="14"/>
  <c r="B1087" i="14"/>
  <c r="B1086" i="14"/>
  <c r="B1085" i="14"/>
  <c r="B1084" i="14"/>
  <c r="B1083" i="14"/>
  <c r="B1082" i="14"/>
  <c r="B1081" i="14"/>
  <c r="B1080" i="14"/>
  <c r="B1079" i="14"/>
  <c r="B1078" i="14"/>
  <c r="B1077" i="14"/>
  <c r="B1076" i="14"/>
  <c r="B1075" i="14"/>
  <c r="B1074" i="14"/>
  <c r="B1073" i="14"/>
  <c r="B1072" i="14"/>
  <c r="B1071" i="14"/>
  <c r="B1070" i="14"/>
  <c r="B1069" i="14"/>
  <c r="B1068" i="14"/>
  <c r="B1067" i="14"/>
  <c r="B1066" i="14"/>
  <c r="B1065" i="14"/>
  <c r="B1064" i="14"/>
  <c r="B1063" i="14"/>
  <c r="B1062" i="14"/>
  <c r="B1061" i="14"/>
  <c r="B1060" i="14"/>
  <c r="B1059" i="14"/>
  <c r="B1058" i="14"/>
  <c r="B1057" i="14"/>
  <c r="B1056" i="14"/>
  <c r="B1055" i="14"/>
  <c r="B1054" i="14"/>
  <c r="B1053" i="14"/>
  <c r="B1052" i="14"/>
  <c r="B1051" i="14"/>
  <c r="B1050" i="14"/>
  <c r="B1049" i="14"/>
  <c r="B1048" i="14"/>
  <c r="B1047" i="14"/>
  <c r="B1046" i="14"/>
  <c r="B1045" i="14"/>
  <c r="B1044" i="14"/>
  <c r="B1043" i="14"/>
  <c r="B1042" i="14"/>
  <c r="B1041" i="14"/>
  <c r="B1040" i="14"/>
  <c r="B1039" i="14"/>
  <c r="B1038" i="14"/>
  <c r="B1037" i="14"/>
  <c r="B1036" i="14"/>
  <c r="B1035" i="14"/>
  <c r="B1034" i="14"/>
  <c r="B1033" i="14"/>
  <c r="B1032" i="14"/>
  <c r="B1031" i="14"/>
  <c r="B1030" i="14"/>
  <c r="B1029" i="14"/>
  <c r="B1028" i="14"/>
  <c r="B1027" i="14"/>
  <c r="B1026" i="14"/>
  <c r="B1025" i="14"/>
  <c r="B1024" i="14"/>
  <c r="B1023" i="14"/>
  <c r="B1022" i="14"/>
  <c r="B1021" i="14"/>
  <c r="B1020" i="14"/>
  <c r="B1019" i="14"/>
  <c r="B1018" i="14"/>
  <c r="B1017" i="14"/>
  <c r="B1016" i="14"/>
  <c r="B1015" i="14"/>
  <c r="B1014" i="14"/>
  <c r="B1013" i="14"/>
  <c r="B1012" i="14"/>
  <c r="B1011" i="14"/>
  <c r="B1010" i="14"/>
  <c r="B1009" i="14"/>
  <c r="B1008" i="14"/>
  <c r="B1007" i="14"/>
  <c r="B1006" i="14"/>
  <c r="B1005" i="14"/>
  <c r="B1004" i="14"/>
  <c r="B1003" i="14"/>
  <c r="B1002" i="14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J27" i="14"/>
  <c r="B27" i="14"/>
  <c r="J26" i="14"/>
  <c r="B26" i="14"/>
  <c r="J25" i="14"/>
  <c r="B25" i="14"/>
  <c r="B24" i="14"/>
  <c r="B23" i="14"/>
  <c r="J22" i="14"/>
  <c r="B22" i="14"/>
  <c r="B21" i="14"/>
  <c r="J20" i="14"/>
  <c r="B20" i="14"/>
  <c r="B19" i="14"/>
  <c r="B18" i="14"/>
  <c r="B17" i="14"/>
  <c r="B16" i="14"/>
  <c r="B15" i="14"/>
  <c r="B14" i="14"/>
  <c r="J13" i="14"/>
  <c r="J15" i="14" s="1"/>
  <c r="B13" i="14"/>
  <c r="B12" i="14"/>
  <c r="B11" i="14"/>
  <c r="B10" i="14"/>
  <c r="B9" i="14"/>
  <c r="B8" i="14"/>
  <c r="B7" i="14"/>
  <c r="B6" i="14"/>
  <c r="B5" i="14"/>
  <c r="B4" i="14"/>
  <c r="B2445" i="13"/>
  <c r="B2444" i="13"/>
  <c r="B2443" i="13"/>
  <c r="B2442" i="13"/>
  <c r="B2441" i="13"/>
  <c r="B2440" i="13"/>
  <c r="B2439" i="13"/>
  <c r="B2438" i="13"/>
  <c r="B2437" i="13"/>
  <c r="B2436" i="13"/>
  <c r="B2435" i="13"/>
  <c r="B2434" i="13"/>
  <c r="B2433" i="13"/>
  <c r="B2432" i="13"/>
  <c r="B2431" i="13"/>
  <c r="B2430" i="13"/>
  <c r="B2429" i="13"/>
  <c r="B2428" i="13"/>
  <c r="B2427" i="13"/>
  <c r="B2426" i="13"/>
  <c r="B2425" i="13"/>
  <c r="B2424" i="13"/>
  <c r="B2423" i="13"/>
  <c r="B2422" i="13"/>
  <c r="B2421" i="13"/>
  <c r="B2420" i="13"/>
  <c r="B2419" i="13"/>
  <c r="B2418" i="13"/>
  <c r="B2417" i="13"/>
  <c r="B2416" i="13"/>
  <c r="B2415" i="13"/>
  <c r="B2414" i="13"/>
  <c r="B2413" i="13"/>
  <c r="B2412" i="13"/>
  <c r="B2411" i="13"/>
  <c r="B2410" i="13"/>
  <c r="B2409" i="13"/>
  <c r="B2408" i="13"/>
  <c r="B2407" i="13"/>
  <c r="B2406" i="13"/>
  <c r="B2405" i="13"/>
  <c r="B2404" i="13"/>
  <c r="B2403" i="13"/>
  <c r="B2402" i="13"/>
  <c r="B2401" i="13"/>
  <c r="B2400" i="13"/>
  <c r="B2399" i="13"/>
  <c r="B2398" i="13"/>
  <c r="B2397" i="13"/>
  <c r="B2396" i="13"/>
  <c r="B2395" i="13"/>
  <c r="B2394" i="13"/>
  <c r="B2393" i="13"/>
  <c r="B2392" i="13"/>
  <c r="B2391" i="13"/>
  <c r="B2390" i="13"/>
  <c r="B2389" i="13"/>
  <c r="B2388" i="13"/>
  <c r="B2387" i="13"/>
  <c r="B2386" i="13"/>
  <c r="B2385" i="13"/>
  <c r="B2384" i="13"/>
  <c r="B2383" i="13"/>
  <c r="B2382" i="13"/>
  <c r="B2381" i="13"/>
  <c r="B2380" i="13"/>
  <c r="B2379" i="13"/>
  <c r="B2378" i="13"/>
  <c r="B2377" i="13"/>
  <c r="B2376" i="13"/>
  <c r="B2375" i="13"/>
  <c r="B2374" i="13"/>
  <c r="B2373" i="13"/>
  <c r="B2372" i="13"/>
  <c r="B2371" i="13"/>
  <c r="B2370" i="13"/>
  <c r="B2369" i="13"/>
  <c r="B2368" i="13"/>
  <c r="B2367" i="13"/>
  <c r="B2366" i="13"/>
  <c r="B2365" i="13"/>
  <c r="B2364" i="13"/>
  <c r="B2363" i="13"/>
  <c r="B2362" i="13"/>
  <c r="B2361" i="13"/>
  <c r="B2360" i="13"/>
  <c r="B2359" i="13"/>
  <c r="B2358" i="13"/>
  <c r="B2357" i="13"/>
  <c r="B2356" i="13"/>
  <c r="B2355" i="13"/>
  <c r="B2354" i="13"/>
  <c r="B2353" i="13"/>
  <c r="B2352" i="13"/>
  <c r="B2351" i="13"/>
  <c r="B2350" i="13"/>
  <c r="B2349" i="13"/>
  <c r="B2348" i="13"/>
  <c r="B2347" i="13"/>
  <c r="B2346" i="13"/>
  <c r="B2345" i="13"/>
  <c r="B2344" i="13"/>
  <c r="B2343" i="13"/>
  <c r="B2342" i="13"/>
  <c r="B2341" i="13"/>
  <c r="B2340" i="13"/>
  <c r="B2339" i="13"/>
  <c r="B2338" i="13"/>
  <c r="B2337" i="13"/>
  <c r="B2336" i="13"/>
  <c r="B2335" i="13"/>
  <c r="B2334" i="13"/>
  <c r="B2333" i="13"/>
  <c r="B2332" i="13"/>
  <c r="B2331" i="13"/>
  <c r="B2330" i="13"/>
  <c r="B2329" i="13"/>
  <c r="B2328" i="13"/>
  <c r="B2327" i="13"/>
  <c r="B2326" i="13"/>
  <c r="B2325" i="13"/>
  <c r="B2324" i="13"/>
  <c r="B2323" i="13"/>
  <c r="B2322" i="13"/>
  <c r="B2321" i="13"/>
  <c r="B2320" i="13"/>
  <c r="B2319" i="13"/>
  <c r="B2318" i="13"/>
  <c r="B2317" i="13"/>
  <c r="B2316" i="13"/>
  <c r="B2315" i="13"/>
  <c r="B2314" i="13"/>
  <c r="B2313" i="13"/>
  <c r="B2312" i="13"/>
  <c r="B2311" i="13"/>
  <c r="B2310" i="13"/>
  <c r="B2309" i="13"/>
  <c r="B2308" i="13"/>
  <c r="B2307" i="13"/>
  <c r="B2306" i="13"/>
  <c r="B2305" i="13"/>
  <c r="B2304" i="13"/>
  <c r="B2303" i="13"/>
  <c r="B2302" i="13"/>
  <c r="B2301" i="13"/>
  <c r="B2300" i="13"/>
  <c r="B2299" i="13"/>
  <c r="B2298" i="13"/>
  <c r="B2297" i="13"/>
  <c r="B2296" i="13"/>
  <c r="B2295" i="13"/>
  <c r="B2294" i="13"/>
  <c r="B2293" i="13"/>
  <c r="B2292" i="13"/>
  <c r="B2291" i="13"/>
  <c r="B2290" i="13"/>
  <c r="B2289" i="13"/>
  <c r="B2288" i="13"/>
  <c r="B2287" i="13"/>
  <c r="B2286" i="13"/>
  <c r="B2285" i="13"/>
  <c r="B2284" i="13"/>
  <c r="B2283" i="13"/>
  <c r="B2282" i="13"/>
  <c r="B2281" i="13"/>
  <c r="B2280" i="13"/>
  <c r="B2279" i="13"/>
  <c r="B2278" i="13"/>
  <c r="B2277" i="13"/>
  <c r="B2276" i="13"/>
  <c r="B2275" i="13"/>
  <c r="B2274" i="13"/>
  <c r="B2273" i="13"/>
  <c r="B2272" i="13"/>
  <c r="B2271" i="13"/>
  <c r="B2270" i="13"/>
  <c r="B2269" i="13"/>
  <c r="B2268" i="13"/>
  <c r="B2267" i="13"/>
  <c r="B2266" i="13"/>
  <c r="B2265" i="13"/>
  <c r="B2264" i="13"/>
  <c r="B2263" i="13"/>
  <c r="B2262" i="13"/>
  <c r="B2261" i="13"/>
  <c r="B2260" i="13"/>
  <c r="B2259" i="13"/>
  <c r="B2258" i="13"/>
  <c r="B2257" i="13"/>
  <c r="B2256" i="13"/>
  <c r="B2255" i="13"/>
  <c r="B2254" i="13"/>
  <c r="B2253" i="13"/>
  <c r="B2252" i="13"/>
  <c r="B2251" i="13"/>
  <c r="B2250" i="13"/>
  <c r="B2249" i="13"/>
  <c r="B2248" i="13"/>
  <c r="B2247" i="13"/>
  <c r="B2246" i="13"/>
  <c r="B2245" i="13"/>
  <c r="B2244" i="13"/>
  <c r="B2243" i="13"/>
  <c r="B2242" i="13"/>
  <c r="B2241" i="13"/>
  <c r="B2240" i="13"/>
  <c r="B2239" i="13"/>
  <c r="B2238" i="13"/>
  <c r="B2237" i="13"/>
  <c r="B2236" i="13"/>
  <c r="B2235" i="13"/>
  <c r="B2234" i="13"/>
  <c r="B2233" i="13"/>
  <c r="B2232" i="13"/>
  <c r="B2231" i="13"/>
  <c r="B2230" i="13"/>
  <c r="B2229" i="13"/>
  <c r="B2228" i="13"/>
  <c r="B2227" i="13"/>
  <c r="B2226" i="13"/>
  <c r="B2225" i="13"/>
  <c r="B2224" i="13"/>
  <c r="B2223" i="13"/>
  <c r="B2222" i="13"/>
  <c r="B2221" i="13"/>
  <c r="B2220" i="13"/>
  <c r="B2219" i="13"/>
  <c r="B2218" i="13"/>
  <c r="B2217" i="13"/>
  <c r="B2216" i="13"/>
  <c r="B2215" i="13"/>
  <c r="B2214" i="13"/>
  <c r="B2213" i="13"/>
  <c r="B2212" i="13"/>
  <c r="B2211" i="13"/>
  <c r="B2210" i="13"/>
  <c r="B2209" i="13"/>
  <c r="B2208" i="13"/>
  <c r="B2207" i="13"/>
  <c r="B2206" i="13"/>
  <c r="B2205" i="13"/>
  <c r="B2204" i="13"/>
  <c r="B2203" i="13"/>
  <c r="B2202" i="13"/>
  <c r="B2201" i="13"/>
  <c r="B2200" i="13"/>
  <c r="B2199" i="13"/>
  <c r="B2198" i="13"/>
  <c r="B2197" i="13"/>
  <c r="B2196" i="13"/>
  <c r="B2195" i="13"/>
  <c r="B2194" i="13"/>
  <c r="B2193" i="13"/>
  <c r="B2192" i="13"/>
  <c r="B2191" i="13"/>
  <c r="B2190" i="13"/>
  <c r="B2189" i="13"/>
  <c r="B2188" i="13"/>
  <c r="B2187" i="13"/>
  <c r="B2186" i="13"/>
  <c r="B2185" i="13"/>
  <c r="B2184" i="13"/>
  <c r="B2183" i="13"/>
  <c r="B2182" i="13"/>
  <c r="B2181" i="13"/>
  <c r="B2180" i="13"/>
  <c r="B2179" i="13"/>
  <c r="B2178" i="13"/>
  <c r="B2177" i="13"/>
  <c r="B2176" i="13"/>
  <c r="B2175" i="13"/>
  <c r="B2174" i="13"/>
  <c r="B2173" i="13"/>
  <c r="B2172" i="13"/>
  <c r="B2171" i="13"/>
  <c r="B2170" i="13"/>
  <c r="B2169" i="13"/>
  <c r="B2168" i="13"/>
  <c r="B2167" i="13"/>
  <c r="B2166" i="13"/>
  <c r="B2165" i="13"/>
  <c r="B2164" i="13"/>
  <c r="B2163" i="13"/>
  <c r="B2162" i="13"/>
  <c r="B2161" i="13"/>
  <c r="B2160" i="13"/>
  <c r="B2159" i="13"/>
  <c r="B2158" i="13"/>
  <c r="B2157" i="13"/>
  <c r="B2156" i="13"/>
  <c r="B2155" i="13"/>
  <c r="B2154" i="13"/>
  <c r="B2153" i="13"/>
  <c r="B2152" i="13"/>
  <c r="B2151" i="13"/>
  <c r="B2150" i="13"/>
  <c r="B2149" i="13"/>
  <c r="B2148" i="13"/>
  <c r="B2147" i="13"/>
  <c r="B2146" i="13"/>
  <c r="B2145" i="13"/>
  <c r="B2144" i="13"/>
  <c r="B2143" i="13"/>
  <c r="B2142" i="13"/>
  <c r="B2141" i="13"/>
  <c r="B2140" i="13"/>
  <c r="B2139" i="13"/>
  <c r="B2138" i="13"/>
  <c r="B2137" i="13"/>
  <c r="B2136" i="13"/>
  <c r="B2135" i="13"/>
  <c r="B2134" i="13"/>
  <c r="B2133" i="13"/>
  <c r="B2132" i="13"/>
  <c r="B2131" i="13"/>
  <c r="B2130" i="13"/>
  <c r="B2129" i="13"/>
  <c r="B2128" i="13"/>
  <c r="B2127" i="13"/>
  <c r="B2126" i="13"/>
  <c r="B2125" i="13"/>
  <c r="B2124" i="13"/>
  <c r="B2123" i="13"/>
  <c r="B2122" i="13"/>
  <c r="B2121" i="13"/>
  <c r="B2120" i="13"/>
  <c r="B2119" i="13"/>
  <c r="B2118" i="13"/>
  <c r="B2117" i="13"/>
  <c r="B2116" i="13"/>
  <c r="B2115" i="13"/>
  <c r="B2114" i="13"/>
  <c r="B2113" i="13"/>
  <c r="B2112" i="13"/>
  <c r="B2111" i="13"/>
  <c r="B2110" i="13"/>
  <c r="B2109" i="13"/>
  <c r="B2108" i="13"/>
  <c r="B2107" i="13"/>
  <c r="B2106" i="13"/>
  <c r="B2105" i="13"/>
  <c r="B2104" i="13"/>
  <c r="B2103" i="13"/>
  <c r="B2102" i="13"/>
  <c r="B2101" i="13"/>
  <c r="B2100" i="13"/>
  <c r="B2099" i="13"/>
  <c r="B2098" i="13"/>
  <c r="B2097" i="13"/>
  <c r="B2096" i="13"/>
  <c r="B2095" i="13"/>
  <c r="B2094" i="13"/>
  <c r="B2093" i="13"/>
  <c r="B2092" i="13"/>
  <c r="B2091" i="13"/>
  <c r="B2090" i="13"/>
  <c r="B2089" i="13"/>
  <c r="B2088" i="13"/>
  <c r="B2087" i="13"/>
  <c r="B2086" i="13"/>
  <c r="B2085" i="13"/>
  <c r="B2084" i="13"/>
  <c r="B2083" i="13"/>
  <c r="B2082" i="13"/>
  <c r="B2081" i="13"/>
  <c r="B2080" i="13"/>
  <c r="B2079" i="13"/>
  <c r="B2078" i="13"/>
  <c r="B2077" i="13"/>
  <c r="B2076" i="13"/>
  <c r="B2075" i="13"/>
  <c r="B2074" i="13"/>
  <c r="B2073" i="13"/>
  <c r="B2072" i="13"/>
  <c r="B2071" i="13"/>
  <c r="B2070" i="13"/>
  <c r="B2069" i="13"/>
  <c r="B2068" i="13"/>
  <c r="B2067" i="13"/>
  <c r="B2066" i="13"/>
  <c r="B2065" i="13"/>
  <c r="B2064" i="13"/>
  <c r="B2063" i="13"/>
  <c r="B2062" i="13"/>
  <c r="B2061" i="13"/>
  <c r="B2060" i="13"/>
  <c r="B2059" i="13"/>
  <c r="B2058" i="13"/>
  <c r="B2057" i="13"/>
  <c r="B2056" i="13"/>
  <c r="B2055" i="13"/>
  <c r="B2054" i="13"/>
  <c r="B2053" i="13"/>
  <c r="B2052" i="13"/>
  <c r="B2051" i="13"/>
  <c r="B2050" i="13"/>
  <c r="B2049" i="13"/>
  <c r="B2048" i="13"/>
  <c r="B2047" i="13"/>
  <c r="B2046" i="13"/>
  <c r="B2045" i="13"/>
  <c r="B2044" i="13"/>
  <c r="B2043" i="13"/>
  <c r="B2042" i="13"/>
  <c r="B2041" i="13"/>
  <c r="B2040" i="13"/>
  <c r="B2039" i="13"/>
  <c r="B2038" i="13"/>
  <c r="B2037" i="13"/>
  <c r="B2036" i="13"/>
  <c r="B2035" i="13"/>
  <c r="B2034" i="13"/>
  <c r="B2033" i="13"/>
  <c r="B2032" i="13"/>
  <c r="B2031" i="13"/>
  <c r="B2030" i="13"/>
  <c r="B2029" i="13"/>
  <c r="B2028" i="13"/>
  <c r="B2027" i="13"/>
  <c r="B2026" i="13"/>
  <c r="B2025" i="13"/>
  <c r="B2024" i="13"/>
  <c r="B2023" i="13"/>
  <c r="B2022" i="13"/>
  <c r="B2021" i="13"/>
  <c r="B2020" i="13"/>
  <c r="B2019" i="13"/>
  <c r="B2018" i="13"/>
  <c r="B2017" i="13"/>
  <c r="B2016" i="13"/>
  <c r="B2015" i="13"/>
  <c r="B2014" i="13"/>
  <c r="B2013" i="13"/>
  <c r="B2012" i="13"/>
  <c r="B2011" i="13"/>
  <c r="B2010" i="13"/>
  <c r="B2009" i="13"/>
  <c r="B2008" i="13"/>
  <c r="B2007" i="13"/>
  <c r="B2006" i="13"/>
  <c r="B2005" i="13"/>
  <c r="B2004" i="13"/>
  <c r="B2003" i="13"/>
  <c r="B2002" i="13"/>
  <c r="B2001" i="13"/>
  <c r="B2000" i="13"/>
  <c r="B1999" i="13"/>
  <c r="B1998" i="13"/>
  <c r="B1997" i="13"/>
  <c r="B1996" i="13"/>
  <c r="B1995" i="13"/>
  <c r="B1994" i="13"/>
  <c r="B1993" i="13"/>
  <c r="B1992" i="13"/>
  <c r="B1991" i="13"/>
  <c r="B1990" i="13"/>
  <c r="B1989" i="13"/>
  <c r="B1988" i="13"/>
  <c r="B1987" i="13"/>
  <c r="B1986" i="13"/>
  <c r="B1985" i="13"/>
  <c r="B1984" i="13"/>
  <c r="B1983" i="13"/>
  <c r="B1982" i="13"/>
  <c r="B1981" i="13"/>
  <c r="B1980" i="13"/>
  <c r="B1979" i="13"/>
  <c r="B1978" i="13"/>
  <c r="B1977" i="13"/>
  <c r="B1976" i="13"/>
  <c r="B1975" i="13"/>
  <c r="B1974" i="13"/>
  <c r="B1973" i="13"/>
  <c r="B1972" i="13"/>
  <c r="B1971" i="13"/>
  <c r="B1970" i="13"/>
  <c r="B1969" i="13"/>
  <c r="B1968" i="13"/>
  <c r="B1967" i="13"/>
  <c r="B1966" i="13"/>
  <c r="B1965" i="13"/>
  <c r="B1964" i="13"/>
  <c r="B1963" i="13"/>
  <c r="B1962" i="13"/>
  <c r="B1961" i="13"/>
  <c r="B1960" i="13"/>
  <c r="B1959" i="13"/>
  <c r="B1958" i="13"/>
  <c r="B1957" i="13"/>
  <c r="B1956" i="13"/>
  <c r="B1955" i="13"/>
  <c r="B1954" i="13"/>
  <c r="B1953" i="13"/>
  <c r="B1952" i="13"/>
  <c r="B1951" i="13"/>
  <c r="B1950" i="13"/>
  <c r="B1949" i="13"/>
  <c r="B1948" i="13"/>
  <c r="B1947" i="13"/>
  <c r="B1946" i="13"/>
  <c r="B1945" i="13"/>
  <c r="B1944" i="13"/>
  <c r="B1943" i="13"/>
  <c r="B1942" i="13"/>
  <c r="B1941" i="13"/>
  <c r="B1940" i="13"/>
  <c r="B1939" i="13"/>
  <c r="B1938" i="13"/>
  <c r="B1937" i="13"/>
  <c r="B1936" i="13"/>
  <c r="B1935" i="13"/>
  <c r="B1934" i="13"/>
  <c r="B1933" i="13"/>
  <c r="B1932" i="13"/>
  <c r="B1931" i="13"/>
  <c r="B1930" i="13"/>
  <c r="B1929" i="13"/>
  <c r="B1928" i="13"/>
  <c r="B1927" i="13"/>
  <c r="B1926" i="13"/>
  <c r="B1925" i="13"/>
  <c r="B1924" i="13"/>
  <c r="B1923" i="13"/>
  <c r="B1922" i="13"/>
  <c r="B1921" i="13"/>
  <c r="B1920" i="13"/>
  <c r="B1919" i="13"/>
  <c r="B1918" i="13"/>
  <c r="B1917" i="13"/>
  <c r="B1916" i="13"/>
  <c r="B1915" i="13"/>
  <c r="B1914" i="13"/>
  <c r="B1913" i="13"/>
  <c r="B1912" i="13"/>
  <c r="B1911" i="13"/>
  <c r="B1910" i="13"/>
  <c r="B1909" i="13"/>
  <c r="B1908" i="13"/>
  <c r="B1907" i="13"/>
  <c r="B1906" i="13"/>
  <c r="B1905" i="13"/>
  <c r="B1904" i="13"/>
  <c r="B1903" i="13"/>
  <c r="B1902" i="13"/>
  <c r="B1901" i="13"/>
  <c r="B1900" i="13"/>
  <c r="B1899" i="13"/>
  <c r="B1898" i="13"/>
  <c r="B1897" i="13"/>
  <c r="B1896" i="13"/>
  <c r="B1895" i="13"/>
  <c r="B1894" i="13"/>
  <c r="B1893" i="13"/>
  <c r="B1892" i="13"/>
  <c r="B1891" i="13"/>
  <c r="B1890" i="13"/>
  <c r="B1889" i="13"/>
  <c r="B1888" i="13"/>
  <c r="B1887" i="13"/>
  <c r="B1886" i="13"/>
  <c r="B1885" i="13"/>
  <c r="B1884" i="13"/>
  <c r="B1883" i="13"/>
  <c r="B1882" i="13"/>
  <c r="B1881" i="13"/>
  <c r="B1880" i="13"/>
  <c r="B1879" i="13"/>
  <c r="B1878" i="13"/>
  <c r="B1877" i="13"/>
  <c r="B1876" i="13"/>
  <c r="B1875" i="13"/>
  <c r="B1874" i="13"/>
  <c r="B1873" i="13"/>
  <c r="B1872" i="13"/>
  <c r="B1871" i="13"/>
  <c r="B1870" i="13"/>
  <c r="B1869" i="13"/>
  <c r="B1868" i="13"/>
  <c r="B1867" i="13"/>
  <c r="B1866" i="13"/>
  <c r="B1865" i="13"/>
  <c r="B1864" i="13"/>
  <c r="B1863" i="13"/>
  <c r="B1862" i="13"/>
  <c r="B1861" i="13"/>
  <c r="B1860" i="13"/>
  <c r="B1859" i="13"/>
  <c r="B1858" i="13"/>
  <c r="B1857" i="13"/>
  <c r="B1856" i="13"/>
  <c r="B1855" i="13"/>
  <c r="B1854" i="13"/>
  <c r="B1853" i="13"/>
  <c r="B1852" i="13"/>
  <c r="B1851" i="13"/>
  <c r="B1850" i="13"/>
  <c r="B1849" i="13"/>
  <c r="B1848" i="13"/>
  <c r="B1847" i="13"/>
  <c r="B1846" i="13"/>
  <c r="B1845" i="13"/>
  <c r="B1844" i="13"/>
  <c r="B1843" i="13"/>
  <c r="B1842" i="13"/>
  <c r="B1841" i="13"/>
  <c r="B1840" i="13"/>
  <c r="B1839" i="13"/>
  <c r="B1838" i="13"/>
  <c r="B1837" i="13"/>
  <c r="B1836" i="13"/>
  <c r="B1835" i="13"/>
  <c r="B1834" i="13"/>
  <c r="B1833" i="13"/>
  <c r="B1832" i="13"/>
  <c r="B1831" i="13"/>
  <c r="B1830" i="13"/>
  <c r="B1829" i="13"/>
  <c r="B1828" i="13"/>
  <c r="B1827" i="13"/>
  <c r="B1826" i="13"/>
  <c r="B1825" i="13"/>
  <c r="B1824" i="13"/>
  <c r="B1823" i="13"/>
  <c r="B1822" i="13"/>
  <c r="B1821" i="13"/>
  <c r="B1820" i="13"/>
  <c r="B1819" i="13"/>
  <c r="B1818" i="13"/>
  <c r="B1817" i="13"/>
  <c r="B1816" i="13"/>
  <c r="B1815" i="13"/>
  <c r="B1814" i="13"/>
  <c r="B1813" i="13"/>
  <c r="B1812" i="13"/>
  <c r="B1811" i="13"/>
  <c r="B1810" i="13"/>
  <c r="B1809" i="13"/>
  <c r="B1808" i="13"/>
  <c r="B1807" i="13"/>
  <c r="B1806" i="13"/>
  <c r="B1805" i="13"/>
  <c r="B1804" i="13"/>
  <c r="B1803" i="13"/>
  <c r="B1802" i="13"/>
  <c r="B1801" i="13"/>
  <c r="B1800" i="13"/>
  <c r="B1799" i="13"/>
  <c r="B1798" i="13"/>
  <c r="B1797" i="13"/>
  <c r="B1796" i="13"/>
  <c r="B1795" i="13"/>
  <c r="B1794" i="13"/>
  <c r="B1793" i="13"/>
  <c r="B1792" i="13"/>
  <c r="B1791" i="13"/>
  <c r="B1790" i="13"/>
  <c r="B1789" i="13"/>
  <c r="B1788" i="13"/>
  <c r="B1787" i="13"/>
  <c r="B1786" i="13"/>
  <c r="B1785" i="13"/>
  <c r="B1784" i="13"/>
  <c r="B1783" i="13"/>
  <c r="B1782" i="13"/>
  <c r="B1781" i="13"/>
  <c r="B1780" i="13"/>
  <c r="B1779" i="13"/>
  <c r="B1778" i="13"/>
  <c r="B1777" i="13"/>
  <c r="B1776" i="13"/>
  <c r="B1775" i="13"/>
  <c r="B1774" i="13"/>
  <c r="B1773" i="13"/>
  <c r="B1772" i="13"/>
  <c r="B1771" i="13"/>
  <c r="B1770" i="13"/>
  <c r="B1769" i="13"/>
  <c r="B1768" i="13"/>
  <c r="B1767" i="13"/>
  <c r="B1766" i="13"/>
  <c r="B1765" i="13"/>
  <c r="B1764" i="13"/>
  <c r="B1763" i="13"/>
  <c r="B1762" i="13"/>
  <c r="B1761" i="13"/>
  <c r="B1760" i="13"/>
  <c r="B1759" i="13"/>
  <c r="B1758" i="13"/>
  <c r="B1757" i="13"/>
  <c r="B1756" i="13"/>
  <c r="B1755" i="13"/>
  <c r="B1754" i="13"/>
  <c r="B1753" i="13"/>
  <c r="B1752" i="13"/>
  <c r="B1751" i="13"/>
  <c r="B1750" i="13"/>
  <c r="B1749" i="13"/>
  <c r="B1748" i="13"/>
  <c r="B1747" i="13"/>
  <c r="B1746" i="13"/>
  <c r="B1745" i="13"/>
  <c r="B1744" i="13"/>
  <c r="B1743" i="13"/>
  <c r="B1742" i="13"/>
  <c r="B1741" i="13"/>
  <c r="B1740" i="13"/>
  <c r="B1739" i="13"/>
  <c r="B1738" i="13"/>
  <c r="B1737" i="13"/>
  <c r="B1736" i="13"/>
  <c r="B1735" i="13"/>
  <c r="B1734" i="13"/>
  <c r="B1733" i="13"/>
  <c r="B1732" i="13"/>
  <c r="B1731" i="13"/>
  <c r="B1730" i="13"/>
  <c r="B1729" i="13"/>
  <c r="B1728" i="13"/>
  <c r="B1727" i="13"/>
  <c r="B1726" i="13"/>
  <c r="B1725" i="13"/>
  <c r="B1724" i="13"/>
  <c r="B1723" i="13"/>
  <c r="B1722" i="13"/>
  <c r="B1721" i="13"/>
  <c r="B1720" i="13"/>
  <c r="B1719" i="13"/>
  <c r="B1718" i="13"/>
  <c r="B1717" i="13"/>
  <c r="B1716" i="13"/>
  <c r="B1715" i="13"/>
  <c r="B1714" i="13"/>
  <c r="B1713" i="13"/>
  <c r="B1712" i="13"/>
  <c r="B1711" i="13"/>
  <c r="B1710" i="13"/>
  <c r="B1709" i="13"/>
  <c r="B1708" i="13"/>
  <c r="B1707" i="13"/>
  <c r="B1706" i="13"/>
  <c r="B1705" i="13"/>
  <c r="B1704" i="13"/>
  <c r="B1703" i="13"/>
  <c r="B1702" i="13"/>
  <c r="B1701" i="13"/>
  <c r="B1700" i="13"/>
  <c r="B1699" i="13"/>
  <c r="B1698" i="13"/>
  <c r="B1697" i="13"/>
  <c r="B1696" i="13"/>
  <c r="B1695" i="13"/>
  <c r="B1694" i="13"/>
  <c r="B1693" i="13"/>
  <c r="B1692" i="13"/>
  <c r="B1691" i="13"/>
  <c r="B1690" i="13"/>
  <c r="B1689" i="13"/>
  <c r="B1688" i="13"/>
  <c r="B1687" i="13"/>
  <c r="B1686" i="13"/>
  <c r="B1685" i="13"/>
  <c r="B1684" i="13"/>
  <c r="B1683" i="13"/>
  <c r="B1682" i="13"/>
  <c r="B1681" i="13"/>
  <c r="B1680" i="13"/>
  <c r="B1679" i="13"/>
  <c r="B1678" i="13"/>
  <c r="B1677" i="13"/>
  <c r="B1676" i="13"/>
  <c r="B1675" i="13"/>
  <c r="B1674" i="13"/>
  <c r="B1673" i="13"/>
  <c r="B1672" i="13"/>
  <c r="B1671" i="13"/>
  <c r="B1670" i="13"/>
  <c r="B1669" i="13"/>
  <c r="B1668" i="13"/>
  <c r="B1667" i="13"/>
  <c r="B1666" i="13"/>
  <c r="B1665" i="13"/>
  <c r="B1664" i="13"/>
  <c r="B1663" i="13"/>
  <c r="B1662" i="13"/>
  <c r="B1661" i="13"/>
  <c r="B1660" i="13"/>
  <c r="B1659" i="13"/>
  <c r="B1658" i="13"/>
  <c r="B1657" i="13"/>
  <c r="B1656" i="13"/>
  <c r="B1655" i="13"/>
  <c r="B1654" i="13"/>
  <c r="B1653" i="13"/>
  <c r="B1652" i="13"/>
  <c r="B1651" i="13"/>
  <c r="B1650" i="13"/>
  <c r="B1649" i="13"/>
  <c r="B1648" i="13"/>
  <c r="B1647" i="13"/>
  <c r="B1646" i="13"/>
  <c r="B1645" i="13"/>
  <c r="B1644" i="13"/>
  <c r="B1643" i="13"/>
  <c r="B1642" i="13"/>
  <c r="B1641" i="13"/>
  <c r="B1640" i="13"/>
  <c r="B1639" i="13"/>
  <c r="B1638" i="13"/>
  <c r="B1637" i="13"/>
  <c r="B1636" i="13"/>
  <c r="B1635" i="13"/>
  <c r="B1634" i="13"/>
  <c r="B1633" i="13"/>
  <c r="B1632" i="13"/>
  <c r="B1631" i="13"/>
  <c r="B1630" i="13"/>
  <c r="B1629" i="13"/>
  <c r="B1628" i="13"/>
  <c r="B1627" i="13"/>
  <c r="B1626" i="13"/>
  <c r="B1625" i="13"/>
  <c r="B1624" i="13"/>
  <c r="B1623" i="13"/>
  <c r="B1622" i="13"/>
  <c r="B1621" i="13"/>
  <c r="B1620" i="13"/>
  <c r="B1619" i="13"/>
  <c r="B1618" i="13"/>
  <c r="B1617" i="13"/>
  <c r="B1616" i="13"/>
  <c r="B1615" i="13"/>
  <c r="B1614" i="13"/>
  <c r="B1613" i="13"/>
  <c r="B1612" i="13"/>
  <c r="B1611" i="13"/>
  <c r="B1610" i="13"/>
  <c r="B1609" i="13"/>
  <c r="B1608" i="13"/>
  <c r="B1607" i="13"/>
  <c r="B1606" i="13"/>
  <c r="B1605" i="13"/>
  <c r="B1604" i="13"/>
  <c r="B1603" i="13"/>
  <c r="B1602" i="13"/>
  <c r="B1601" i="13"/>
  <c r="B1600" i="13"/>
  <c r="B1599" i="13"/>
  <c r="B1598" i="13"/>
  <c r="B1597" i="13"/>
  <c r="B1596" i="13"/>
  <c r="B1595" i="13"/>
  <c r="B1594" i="13"/>
  <c r="B1593" i="13"/>
  <c r="B1592" i="13"/>
  <c r="B1591" i="13"/>
  <c r="B1590" i="13"/>
  <c r="B1589" i="13"/>
  <c r="B1588" i="13"/>
  <c r="B1587" i="13"/>
  <c r="B1586" i="13"/>
  <c r="B1585" i="13"/>
  <c r="B1584" i="13"/>
  <c r="B1583" i="13"/>
  <c r="B1582" i="13"/>
  <c r="B1581" i="13"/>
  <c r="B1580" i="13"/>
  <c r="B1579" i="13"/>
  <c r="B1578" i="13"/>
  <c r="B1577" i="13"/>
  <c r="B1576" i="13"/>
  <c r="B1575" i="13"/>
  <c r="B1574" i="13"/>
  <c r="B1573" i="13"/>
  <c r="B1572" i="13"/>
  <c r="B1571" i="13"/>
  <c r="B1570" i="13"/>
  <c r="B1569" i="13"/>
  <c r="B1568" i="13"/>
  <c r="B1567" i="13"/>
  <c r="B1566" i="13"/>
  <c r="B1565" i="13"/>
  <c r="B1564" i="13"/>
  <c r="B1563" i="13"/>
  <c r="B1562" i="13"/>
  <c r="B1561" i="13"/>
  <c r="B1560" i="13"/>
  <c r="B1559" i="13"/>
  <c r="B1558" i="13"/>
  <c r="B1557" i="13"/>
  <c r="B1556" i="13"/>
  <c r="B1555" i="13"/>
  <c r="B1554" i="13"/>
  <c r="B1553" i="13"/>
  <c r="B1552" i="13"/>
  <c r="B1551" i="13"/>
  <c r="B1550" i="13"/>
  <c r="B1549" i="13"/>
  <c r="B1548" i="13"/>
  <c r="B1547" i="13"/>
  <c r="B1546" i="13"/>
  <c r="B1545" i="13"/>
  <c r="B1544" i="13"/>
  <c r="B1543" i="13"/>
  <c r="B1542" i="13"/>
  <c r="B1541" i="13"/>
  <c r="B1540" i="13"/>
  <c r="B1539" i="13"/>
  <c r="B1538" i="13"/>
  <c r="B1537" i="13"/>
  <c r="B1536" i="13"/>
  <c r="B1535" i="13"/>
  <c r="B1534" i="13"/>
  <c r="B1533" i="13"/>
  <c r="B1532" i="13"/>
  <c r="B1531" i="13"/>
  <c r="B1530" i="13"/>
  <c r="B1529" i="13"/>
  <c r="B1528" i="13"/>
  <c r="B1527" i="13"/>
  <c r="B1526" i="13"/>
  <c r="B1525" i="13"/>
  <c r="B1524" i="13"/>
  <c r="B1523" i="13"/>
  <c r="B1522" i="13"/>
  <c r="B1521" i="13"/>
  <c r="B1520" i="13"/>
  <c r="B1519" i="13"/>
  <c r="B1518" i="13"/>
  <c r="B1517" i="13"/>
  <c r="B1516" i="13"/>
  <c r="B1515" i="13"/>
  <c r="B1514" i="13"/>
  <c r="B1513" i="13"/>
  <c r="B1512" i="13"/>
  <c r="B1511" i="13"/>
  <c r="B1510" i="13"/>
  <c r="B1509" i="13"/>
  <c r="B1508" i="13"/>
  <c r="B1507" i="13"/>
  <c r="B1506" i="13"/>
  <c r="B1505" i="13"/>
  <c r="B1504" i="13"/>
  <c r="B1503" i="13"/>
  <c r="B1502" i="13"/>
  <c r="B1501" i="13"/>
  <c r="B1500" i="13"/>
  <c r="B1499" i="13"/>
  <c r="B1498" i="13"/>
  <c r="B1497" i="13"/>
  <c r="B1496" i="13"/>
  <c r="B1495" i="13"/>
  <c r="B1494" i="13"/>
  <c r="B1493" i="13"/>
  <c r="B1492" i="13"/>
  <c r="B1491" i="13"/>
  <c r="B1490" i="13"/>
  <c r="B1489" i="13"/>
  <c r="B1488" i="13"/>
  <c r="B1487" i="13"/>
  <c r="B1486" i="13"/>
  <c r="B1485" i="13"/>
  <c r="B1484" i="13"/>
  <c r="B1483" i="13"/>
  <c r="B1482" i="13"/>
  <c r="B1481" i="13"/>
  <c r="B1480" i="13"/>
  <c r="B1479" i="13"/>
  <c r="B1478" i="13"/>
  <c r="B1477" i="13"/>
  <c r="B1476" i="13"/>
  <c r="B1475" i="13"/>
  <c r="B1474" i="13"/>
  <c r="B1473" i="13"/>
  <c r="B1472" i="13"/>
  <c r="B1471" i="13"/>
  <c r="B1470" i="13"/>
  <c r="B1469" i="13"/>
  <c r="B1468" i="13"/>
  <c r="B1467" i="13"/>
  <c r="B1466" i="13"/>
  <c r="B1465" i="13"/>
  <c r="B1464" i="13"/>
  <c r="B1463" i="13"/>
  <c r="B1462" i="13"/>
  <c r="B1461" i="13"/>
  <c r="B1460" i="13"/>
  <c r="B1459" i="13"/>
  <c r="B1458" i="13"/>
  <c r="B1457" i="13"/>
  <c r="B1456" i="13"/>
  <c r="B1455" i="13"/>
  <c r="B1454" i="13"/>
  <c r="B1453" i="13"/>
  <c r="B1452" i="13"/>
  <c r="B1451" i="13"/>
  <c r="B1450" i="13"/>
  <c r="B1449" i="13"/>
  <c r="B1448" i="13"/>
  <c r="B1447" i="13"/>
  <c r="B1446" i="13"/>
  <c r="B1445" i="13"/>
  <c r="B1444" i="13"/>
  <c r="B1443" i="13"/>
  <c r="B1442" i="13"/>
  <c r="B1441" i="13"/>
  <c r="B1440" i="13"/>
  <c r="B1439" i="13"/>
  <c r="B1438" i="13"/>
  <c r="B1437" i="13"/>
  <c r="B1436" i="13"/>
  <c r="B1435" i="13"/>
  <c r="B1434" i="13"/>
  <c r="B1433" i="13"/>
  <c r="B1432" i="13"/>
  <c r="B1431" i="13"/>
  <c r="B1430" i="13"/>
  <c r="B1429" i="13"/>
  <c r="B1428" i="13"/>
  <c r="B1427" i="13"/>
  <c r="B1426" i="13"/>
  <c r="B1425" i="13"/>
  <c r="B1424" i="13"/>
  <c r="B1423" i="13"/>
  <c r="B1422" i="13"/>
  <c r="B1421" i="13"/>
  <c r="B1420" i="13"/>
  <c r="B1419" i="13"/>
  <c r="B1418" i="13"/>
  <c r="B1417" i="13"/>
  <c r="B1416" i="13"/>
  <c r="B1415" i="13"/>
  <c r="B1414" i="13"/>
  <c r="B1413" i="13"/>
  <c r="B1412" i="13"/>
  <c r="B1411" i="13"/>
  <c r="B1410" i="13"/>
  <c r="B1409" i="13"/>
  <c r="B1408" i="13"/>
  <c r="B1407" i="13"/>
  <c r="B1406" i="13"/>
  <c r="B1405" i="13"/>
  <c r="B1404" i="13"/>
  <c r="B1403" i="13"/>
  <c r="B1402" i="13"/>
  <c r="B1401" i="13"/>
  <c r="B1400" i="13"/>
  <c r="B1399" i="13"/>
  <c r="B1398" i="13"/>
  <c r="B1397" i="13"/>
  <c r="B1396" i="13"/>
  <c r="B1395" i="13"/>
  <c r="B1394" i="13"/>
  <c r="B1393" i="13"/>
  <c r="B1392" i="13"/>
  <c r="B1391" i="13"/>
  <c r="B1390" i="13"/>
  <c r="B1389" i="13"/>
  <c r="B1388" i="13"/>
  <c r="B1387" i="13"/>
  <c r="B1386" i="13"/>
  <c r="B1385" i="13"/>
  <c r="B1384" i="13"/>
  <c r="B1383" i="13"/>
  <c r="B1382" i="13"/>
  <c r="B1381" i="13"/>
  <c r="B1380" i="13"/>
  <c r="B1379" i="13"/>
  <c r="B1378" i="13"/>
  <c r="B1377" i="13"/>
  <c r="B1376" i="13"/>
  <c r="B1375" i="13"/>
  <c r="B1374" i="13"/>
  <c r="B1373" i="13"/>
  <c r="B1372" i="13"/>
  <c r="B1371" i="13"/>
  <c r="B1370" i="13"/>
  <c r="B1369" i="13"/>
  <c r="B1368" i="13"/>
  <c r="B1367" i="13"/>
  <c r="B1366" i="13"/>
  <c r="B1365" i="13"/>
  <c r="B1364" i="13"/>
  <c r="B1363" i="13"/>
  <c r="B1362" i="13"/>
  <c r="B1361" i="13"/>
  <c r="B1360" i="13"/>
  <c r="B1359" i="13"/>
  <c r="B1358" i="13"/>
  <c r="B1357" i="13"/>
  <c r="B1356" i="13"/>
  <c r="B1355" i="13"/>
  <c r="B1354" i="13"/>
  <c r="B1353" i="13"/>
  <c r="B1352" i="13"/>
  <c r="B1351" i="13"/>
  <c r="B1350" i="13"/>
  <c r="B1349" i="13"/>
  <c r="B1348" i="13"/>
  <c r="B1347" i="13"/>
  <c r="B1346" i="13"/>
  <c r="B1345" i="13"/>
  <c r="B1344" i="13"/>
  <c r="B1343" i="13"/>
  <c r="B1342" i="13"/>
  <c r="B1341" i="13"/>
  <c r="B1340" i="13"/>
  <c r="B1339" i="13"/>
  <c r="B1338" i="13"/>
  <c r="B1337" i="13"/>
  <c r="B1336" i="13"/>
  <c r="B1335" i="13"/>
  <c r="B1334" i="13"/>
  <c r="B1333" i="13"/>
  <c r="B1332" i="13"/>
  <c r="B1331" i="13"/>
  <c r="B1330" i="13"/>
  <c r="B1329" i="13"/>
  <c r="B1328" i="13"/>
  <c r="B1327" i="13"/>
  <c r="B1326" i="13"/>
  <c r="B1325" i="13"/>
  <c r="B1324" i="13"/>
  <c r="B1323" i="13"/>
  <c r="B1322" i="13"/>
  <c r="B1321" i="13"/>
  <c r="B1320" i="13"/>
  <c r="B1319" i="13"/>
  <c r="B1318" i="13"/>
  <c r="B1317" i="13"/>
  <c r="B1316" i="13"/>
  <c r="B1315" i="13"/>
  <c r="B1314" i="13"/>
  <c r="B1313" i="13"/>
  <c r="B1312" i="13"/>
  <c r="B1311" i="13"/>
  <c r="B1310" i="13"/>
  <c r="B1309" i="13"/>
  <c r="B1308" i="13"/>
  <c r="B1307" i="13"/>
  <c r="B1306" i="13"/>
  <c r="B1305" i="13"/>
  <c r="B1304" i="13"/>
  <c r="B1303" i="13"/>
  <c r="B1302" i="13"/>
  <c r="B1301" i="13"/>
  <c r="B1300" i="13"/>
  <c r="B1299" i="13"/>
  <c r="B1298" i="13"/>
  <c r="B1297" i="13"/>
  <c r="B1296" i="13"/>
  <c r="B1295" i="13"/>
  <c r="B1294" i="13"/>
  <c r="B1293" i="13"/>
  <c r="B1292" i="13"/>
  <c r="B1291" i="13"/>
  <c r="B1290" i="13"/>
  <c r="B1289" i="13"/>
  <c r="B1288" i="13"/>
  <c r="B1287" i="13"/>
  <c r="B1286" i="13"/>
  <c r="B1285" i="13"/>
  <c r="B1284" i="13"/>
  <c r="B1283" i="13"/>
  <c r="B1282" i="13"/>
  <c r="B1281" i="13"/>
  <c r="B1280" i="13"/>
  <c r="B1279" i="13"/>
  <c r="B1278" i="13"/>
  <c r="B1277" i="13"/>
  <c r="B1276" i="13"/>
  <c r="B1275" i="13"/>
  <c r="B1274" i="13"/>
  <c r="B1273" i="13"/>
  <c r="B1272" i="13"/>
  <c r="B1271" i="13"/>
  <c r="B1270" i="13"/>
  <c r="B1269" i="13"/>
  <c r="B1268" i="13"/>
  <c r="B1267" i="13"/>
  <c r="B1266" i="13"/>
  <c r="B1265" i="13"/>
  <c r="B1264" i="13"/>
  <c r="B1263" i="13"/>
  <c r="B1262" i="13"/>
  <c r="B1261" i="13"/>
  <c r="B1260" i="13"/>
  <c r="B1259" i="13"/>
  <c r="B1258" i="13"/>
  <c r="B1257" i="13"/>
  <c r="B1256" i="13"/>
  <c r="B1255" i="13"/>
  <c r="B1254" i="13"/>
  <c r="B1253" i="13"/>
  <c r="B1252" i="13"/>
  <c r="B1251" i="13"/>
  <c r="B1250" i="13"/>
  <c r="B1249" i="13"/>
  <c r="B1248" i="13"/>
  <c r="B1247" i="13"/>
  <c r="B1246" i="13"/>
  <c r="B1245" i="13"/>
  <c r="B1244" i="13"/>
  <c r="B1243" i="13"/>
  <c r="B1242" i="13"/>
  <c r="B1241" i="13"/>
  <c r="B1240" i="13"/>
  <c r="B1239" i="13"/>
  <c r="B1238" i="13"/>
  <c r="B1237" i="13"/>
  <c r="B1236" i="13"/>
  <c r="B1235" i="13"/>
  <c r="B1234" i="13"/>
  <c r="B1233" i="13"/>
  <c r="B1232" i="13"/>
  <c r="B1231" i="13"/>
  <c r="B1230" i="13"/>
  <c r="B1229" i="13"/>
  <c r="B1228" i="13"/>
  <c r="B1227" i="13"/>
  <c r="B1226" i="13"/>
  <c r="B1225" i="13"/>
  <c r="B1224" i="13"/>
  <c r="B1223" i="13"/>
  <c r="B1222" i="13"/>
  <c r="B1221" i="13"/>
  <c r="B1220" i="13"/>
  <c r="B1219" i="13"/>
  <c r="B1218" i="13"/>
  <c r="B1217" i="13"/>
  <c r="B1216" i="13"/>
  <c r="B1215" i="13"/>
  <c r="B1214" i="13"/>
  <c r="B1213" i="13"/>
  <c r="B1212" i="13"/>
  <c r="B1211" i="13"/>
  <c r="B1210" i="13"/>
  <c r="B1209" i="13"/>
  <c r="B1208" i="13"/>
  <c r="B1207" i="13"/>
  <c r="B1206" i="13"/>
  <c r="B1205" i="13"/>
  <c r="B1204" i="13"/>
  <c r="B1203" i="13"/>
  <c r="B1202" i="13"/>
  <c r="B1201" i="13"/>
  <c r="B1200" i="13"/>
  <c r="B1199" i="13"/>
  <c r="B1198" i="13"/>
  <c r="B1197" i="13"/>
  <c r="B1196" i="13"/>
  <c r="B1195" i="13"/>
  <c r="B1194" i="13"/>
  <c r="B1193" i="13"/>
  <c r="B1192" i="13"/>
  <c r="B1191" i="13"/>
  <c r="B1190" i="13"/>
  <c r="B1189" i="13"/>
  <c r="B1188" i="13"/>
  <c r="B1187" i="13"/>
  <c r="B1186" i="13"/>
  <c r="B1185" i="13"/>
  <c r="B1184" i="13"/>
  <c r="B1183" i="13"/>
  <c r="B1182" i="13"/>
  <c r="B1181" i="13"/>
  <c r="B1180" i="13"/>
  <c r="B1179" i="13"/>
  <c r="B1178" i="13"/>
  <c r="B1177" i="13"/>
  <c r="B1176" i="13"/>
  <c r="B1175" i="13"/>
  <c r="B1174" i="13"/>
  <c r="B1173" i="13"/>
  <c r="B1172" i="13"/>
  <c r="B1171" i="13"/>
  <c r="B1170" i="13"/>
  <c r="B1169" i="13"/>
  <c r="B1168" i="13"/>
  <c r="B1167" i="13"/>
  <c r="B1166" i="13"/>
  <c r="B1165" i="13"/>
  <c r="B1164" i="13"/>
  <c r="B1163" i="13"/>
  <c r="B1162" i="13"/>
  <c r="B1161" i="13"/>
  <c r="B1160" i="13"/>
  <c r="B1159" i="13"/>
  <c r="B1158" i="13"/>
  <c r="B1157" i="13"/>
  <c r="B1156" i="13"/>
  <c r="B1155" i="13"/>
  <c r="B1154" i="13"/>
  <c r="B1153" i="13"/>
  <c r="B1152" i="13"/>
  <c r="B1151" i="13"/>
  <c r="B1150" i="13"/>
  <c r="B1149" i="13"/>
  <c r="B1148" i="13"/>
  <c r="B1147" i="13"/>
  <c r="B1146" i="13"/>
  <c r="B1145" i="13"/>
  <c r="B1144" i="13"/>
  <c r="B1143" i="13"/>
  <c r="B1142" i="13"/>
  <c r="B1141" i="13"/>
  <c r="B1140" i="13"/>
  <c r="B1139" i="13"/>
  <c r="B1138" i="13"/>
  <c r="B1137" i="13"/>
  <c r="B1136" i="13"/>
  <c r="B1135" i="13"/>
  <c r="B1134" i="13"/>
  <c r="B1133" i="13"/>
  <c r="B1132" i="13"/>
  <c r="B1131" i="13"/>
  <c r="B1130" i="13"/>
  <c r="B1129" i="13"/>
  <c r="B1128" i="13"/>
  <c r="B1127" i="13"/>
  <c r="B1126" i="13"/>
  <c r="B1125" i="13"/>
  <c r="B1124" i="13"/>
  <c r="B1123" i="13"/>
  <c r="B1122" i="13"/>
  <c r="B1121" i="13"/>
  <c r="B1120" i="13"/>
  <c r="B1119" i="13"/>
  <c r="B1118" i="13"/>
  <c r="B1117" i="13"/>
  <c r="B1116" i="13"/>
  <c r="B1115" i="13"/>
  <c r="B1114" i="13"/>
  <c r="B1113" i="13"/>
  <c r="B1112" i="13"/>
  <c r="B1111" i="13"/>
  <c r="B1110" i="13"/>
  <c r="B1109" i="13"/>
  <c r="B1108" i="13"/>
  <c r="B1107" i="13"/>
  <c r="B1106" i="13"/>
  <c r="B1105" i="13"/>
  <c r="B1104" i="13"/>
  <c r="B1103" i="13"/>
  <c r="B1102" i="13"/>
  <c r="B1101" i="13"/>
  <c r="B1100" i="13"/>
  <c r="B1099" i="13"/>
  <c r="B1098" i="13"/>
  <c r="B1097" i="13"/>
  <c r="B1096" i="13"/>
  <c r="B1095" i="13"/>
  <c r="B1094" i="13"/>
  <c r="B1093" i="13"/>
  <c r="B1092" i="13"/>
  <c r="B1091" i="13"/>
  <c r="B1090" i="13"/>
  <c r="B1089" i="13"/>
  <c r="B1088" i="13"/>
  <c r="B1087" i="13"/>
  <c r="B1086" i="13"/>
  <c r="B1085" i="13"/>
  <c r="B1084" i="13"/>
  <c r="B1083" i="13"/>
  <c r="B1082" i="13"/>
  <c r="B1081" i="13"/>
  <c r="B1080" i="13"/>
  <c r="B1079" i="13"/>
  <c r="B1078" i="13"/>
  <c r="B1077" i="13"/>
  <c r="B1076" i="13"/>
  <c r="B1075" i="13"/>
  <c r="B1074" i="13"/>
  <c r="B1073" i="13"/>
  <c r="B1072" i="13"/>
  <c r="B1071" i="13"/>
  <c r="B1070" i="13"/>
  <c r="B1069" i="13"/>
  <c r="B1068" i="13"/>
  <c r="B1067" i="13"/>
  <c r="B1066" i="13"/>
  <c r="B1065" i="13"/>
  <c r="B1064" i="13"/>
  <c r="B1063" i="13"/>
  <c r="B1062" i="13"/>
  <c r="B1061" i="13"/>
  <c r="B1060" i="13"/>
  <c r="B1059" i="13"/>
  <c r="B1058" i="13"/>
  <c r="B1057" i="13"/>
  <c r="B1056" i="13"/>
  <c r="B1055" i="13"/>
  <c r="B1054" i="13"/>
  <c r="B1053" i="13"/>
  <c r="B1052" i="13"/>
  <c r="B1051" i="13"/>
  <c r="B1050" i="13"/>
  <c r="B1049" i="13"/>
  <c r="B1048" i="13"/>
  <c r="B1047" i="13"/>
  <c r="B1046" i="13"/>
  <c r="B1045" i="13"/>
  <c r="B1044" i="13"/>
  <c r="B1043" i="13"/>
  <c r="B1042" i="13"/>
  <c r="B1041" i="13"/>
  <c r="B1040" i="13"/>
  <c r="B1039" i="13"/>
  <c r="B1038" i="13"/>
  <c r="B1037" i="13"/>
  <c r="B1036" i="13"/>
  <c r="B1035" i="13"/>
  <c r="B1034" i="13"/>
  <c r="B1033" i="13"/>
  <c r="B1032" i="13"/>
  <c r="B1031" i="13"/>
  <c r="B1030" i="13"/>
  <c r="B1029" i="13"/>
  <c r="B1028" i="13"/>
  <c r="B1027" i="13"/>
  <c r="B1026" i="13"/>
  <c r="B1025" i="13"/>
  <c r="B1024" i="13"/>
  <c r="B1023" i="13"/>
  <c r="B1022" i="13"/>
  <c r="B1021" i="13"/>
  <c r="B1020" i="13"/>
  <c r="B1019" i="13"/>
  <c r="B1018" i="13"/>
  <c r="B1017" i="13"/>
  <c r="B1016" i="13"/>
  <c r="B1015" i="13"/>
  <c r="B1014" i="13"/>
  <c r="B1013" i="13"/>
  <c r="B1012" i="13"/>
  <c r="B1011" i="13"/>
  <c r="B1010" i="13"/>
  <c r="B1009" i="13"/>
  <c r="B1008" i="13"/>
  <c r="B1007" i="13"/>
  <c r="B1006" i="13"/>
  <c r="B1005" i="13"/>
  <c r="B1004" i="13"/>
  <c r="B1003" i="13"/>
  <c r="B1002" i="13"/>
  <c r="B1001" i="13"/>
  <c r="B1000" i="13"/>
  <c r="B999" i="13"/>
  <c r="B998" i="13"/>
  <c r="B997" i="13"/>
  <c r="B996" i="13"/>
  <c r="B995" i="13"/>
  <c r="B994" i="13"/>
  <c r="B993" i="13"/>
  <c r="B992" i="13"/>
  <c r="B991" i="13"/>
  <c r="B990" i="13"/>
  <c r="B989" i="13"/>
  <c r="B988" i="13"/>
  <c r="B987" i="13"/>
  <c r="B986" i="13"/>
  <c r="B985" i="13"/>
  <c r="B984" i="13"/>
  <c r="B983" i="13"/>
  <c r="B982" i="13"/>
  <c r="B981" i="13"/>
  <c r="B980" i="13"/>
  <c r="B979" i="13"/>
  <c r="B978" i="13"/>
  <c r="B977" i="13"/>
  <c r="B976" i="13"/>
  <c r="B975" i="13"/>
  <c r="B974" i="13"/>
  <c r="B973" i="13"/>
  <c r="B972" i="13"/>
  <c r="B971" i="13"/>
  <c r="B970" i="13"/>
  <c r="B969" i="13"/>
  <c r="B968" i="13"/>
  <c r="B967" i="13"/>
  <c r="B966" i="13"/>
  <c r="B965" i="13"/>
  <c r="B964" i="13"/>
  <c r="B963" i="13"/>
  <c r="B962" i="13"/>
  <c r="B961" i="13"/>
  <c r="B960" i="13"/>
  <c r="B959" i="13"/>
  <c r="B958" i="13"/>
  <c r="B957" i="13"/>
  <c r="B956" i="13"/>
  <c r="B955" i="13"/>
  <c r="B954" i="13"/>
  <c r="B953" i="13"/>
  <c r="B952" i="13"/>
  <c r="B951" i="13"/>
  <c r="B950" i="13"/>
  <c r="B949" i="13"/>
  <c r="B948" i="13"/>
  <c r="B947" i="13"/>
  <c r="B946" i="13"/>
  <c r="B945" i="13"/>
  <c r="B944" i="13"/>
  <c r="B943" i="13"/>
  <c r="B942" i="13"/>
  <c r="B941" i="13"/>
  <c r="B940" i="13"/>
  <c r="B939" i="13"/>
  <c r="B938" i="13"/>
  <c r="B937" i="13"/>
  <c r="B936" i="13"/>
  <c r="B935" i="13"/>
  <c r="B934" i="13"/>
  <c r="B933" i="13"/>
  <c r="B932" i="13"/>
  <c r="B931" i="13"/>
  <c r="B930" i="13"/>
  <c r="B929" i="13"/>
  <c r="B928" i="13"/>
  <c r="B927" i="13"/>
  <c r="B926" i="13"/>
  <c r="B925" i="13"/>
  <c r="B924" i="13"/>
  <c r="B923" i="13"/>
  <c r="B922" i="13"/>
  <c r="B921" i="13"/>
  <c r="B920" i="13"/>
  <c r="B919" i="13"/>
  <c r="B918" i="13"/>
  <c r="B917" i="13"/>
  <c r="B916" i="13"/>
  <c r="B915" i="13"/>
  <c r="B914" i="13"/>
  <c r="B913" i="13"/>
  <c r="B912" i="13"/>
  <c r="B911" i="13"/>
  <c r="B910" i="13"/>
  <c r="B909" i="13"/>
  <c r="B908" i="13"/>
  <c r="B907" i="13"/>
  <c r="B906" i="13"/>
  <c r="B905" i="13"/>
  <c r="B904" i="13"/>
  <c r="B903" i="13"/>
  <c r="B902" i="13"/>
  <c r="B901" i="13"/>
  <c r="B900" i="13"/>
  <c r="B899" i="13"/>
  <c r="B898" i="13"/>
  <c r="B897" i="13"/>
  <c r="B896" i="13"/>
  <c r="B895" i="13"/>
  <c r="B894" i="13"/>
  <c r="B893" i="13"/>
  <c r="B892" i="13"/>
  <c r="B891" i="13"/>
  <c r="B890" i="13"/>
  <c r="B889" i="13"/>
  <c r="B888" i="13"/>
  <c r="B887" i="13"/>
  <c r="B886" i="13"/>
  <c r="B885" i="13"/>
  <c r="B884" i="13"/>
  <c r="B883" i="13"/>
  <c r="B882" i="13"/>
  <c r="B881" i="13"/>
  <c r="B880" i="13"/>
  <c r="B879" i="13"/>
  <c r="B878" i="13"/>
  <c r="B877" i="13"/>
  <c r="B876" i="13"/>
  <c r="B875" i="13"/>
  <c r="B874" i="13"/>
  <c r="B873" i="13"/>
  <c r="B872" i="13"/>
  <c r="B871" i="13"/>
  <c r="B870" i="13"/>
  <c r="B869" i="13"/>
  <c r="B868" i="13"/>
  <c r="B867" i="13"/>
  <c r="B866" i="13"/>
  <c r="B865" i="13"/>
  <c r="B864" i="13"/>
  <c r="B863" i="13"/>
  <c r="B862" i="13"/>
  <c r="B861" i="13"/>
  <c r="B860" i="13"/>
  <c r="B859" i="13"/>
  <c r="B858" i="13"/>
  <c r="B857" i="13"/>
  <c r="B856" i="13"/>
  <c r="B855" i="13"/>
  <c r="B854" i="13"/>
  <c r="B853" i="13"/>
  <c r="B852" i="13"/>
  <c r="B851" i="13"/>
  <c r="B850" i="13"/>
  <c r="B849" i="13"/>
  <c r="B848" i="13"/>
  <c r="B847" i="13"/>
  <c r="B846" i="13"/>
  <c r="B845" i="13"/>
  <c r="B844" i="13"/>
  <c r="B843" i="13"/>
  <c r="B842" i="13"/>
  <c r="B841" i="13"/>
  <c r="B840" i="13"/>
  <c r="B839" i="13"/>
  <c r="B838" i="13"/>
  <c r="B837" i="13"/>
  <c r="B836" i="13"/>
  <c r="B835" i="13"/>
  <c r="B834" i="13"/>
  <c r="B833" i="13"/>
  <c r="B832" i="13"/>
  <c r="B831" i="13"/>
  <c r="B830" i="13"/>
  <c r="B829" i="13"/>
  <c r="B828" i="13"/>
  <c r="B827" i="13"/>
  <c r="B826" i="13"/>
  <c r="B825" i="13"/>
  <c r="B824" i="13"/>
  <c r="B823" i="13"/>
  <c r="B822" i="13"/>
  <c r="B821" i="13"/>
  <c r="B820" i="13"/>
  <c r="B819" i="13"/>
  <c r="B818" i="13"/>
  <c r="B817" i="13"/>
  <c r="B816" i="13"/>
  <c r="B815" i="13"/>
  <c r="B814" i="13"/>
  <c r="B813" i="13"/>
  <c r="B812" i="13"/>
  <c r="B811" i="13"/>
  <c r="B810" i="13"/>
  <c r="B809" i="13"/>
  <c r="B808" i="13"/>
  <c r="B807" i="13"/>
  <c r="B806" i="13"/>
  <c r="B805" i="13"/>
  <c r="B804" i="13"/>
  <c r="B803" i="13"/>
  <c r="B802" i="13"/>
  <c r="B801" i="13"/>
  <c r="B800" i="13"/>
  <c r="B799" i="13"/>
  <c r="B798" i="13"/>
  <c r="B797" i="13"/>
  <c r="B796" i="13"/>
  <c r="B795" i="13"/>
  <c r="B794" i="13"/>
  <c r="B793" i="13"/>
  <c r="B792" i="13"/>
  <c r="B791" i="13"/>
  <c r="B790" i="13"/>
  <c r="B789" i="13"/>
  <c r="B788" i="13"/>
  <c r="B787" i="13"/>
  <c r="B786" i="13"/>
  <c r="B785" i="13"/>
  <c r="B784" i="13"/>
  <c r="B783" i="13"/>
  <c r="B782" i="13"/>
  <c r="B781" i="13"/>
  <c r="B780" i="13"/>
  <c r="B779" i="13"/>
  <c r="B778" i="13"/>
  <c r="B777" i="13"/>
  <c r="B776" i="13"/>
  <c r="B775" i="13"/>
  <c r="B774" i="13"/>
  <c r="B773" i="13"/>
  <c r="B772" i="13"/>
  <c r="B771" i="13"/>
  <c r="B770" i="13"/>
  <c r="B769" i="13"/>
  <c r="B768" i="13"/>
  <c r="B767" i="13"/>
  <c r="B766" i="13"/>
  <c r="B765" i="13"/>
  <c r="B764" i="13"/>
  <c r="B763" i="13"/>
  <c r="B762" i="13"/>
  <c r="B761" i="13"/>
  <c r="B760" i="13"/>
  <c r="B759" i="13"/>
  <c r="B758" i="13"/>
  <c r="B757" i="13"/>
  <c r="B756" i="13"/>
  <c r="B755" i="13"/>
  <c r="B754" i="13"/>
  <c r="B753" i="13"/>
  <c r="B752" i="13"/>
  <c r="B751" i="13"/>
  <c r="B750" i="13"/>
  <c r="B749" i="13"/>
  <c r="B748" i="13"/>
  <c r="B747" i="13"/>
  <c r="B746" i="13"/>
  <c r="B745" i="13"/>
  <c r="B744" i="13"/>
  <c r="B743" i="13"/>
  <c r="B742" i="13"/>
  <c r="B741" i="13"/>
  <c r="B740" i="13"/>
  <c r="B739" i="13"/>
  <c r="B738" i="13"/>
  <c r="B737" i="13"/>
  <c r="B736" i="13"/>
  <c r="B735" i="13"/>
  <c r="B734" i="13"/>
  <c r="B733" i="13"/>
  <c r="B732" i="13"/>
  <c r="B731" i="13"/>
  <c r="B730" i="13"/>
  <c r="B729" i="13"/>
  <c r="B728" i="13"/>
  <c r="B727" i="13"/>
  <c r="B726" i="13"/>
  <c r="B725" i="13"/>
  <c r="B724" i="13"/>
  <c r="B723" i="13"/>
  <c r="B722" i="13"/>
  <c r="B721" i="13"/>
  <c r="B720" i="13"/>
  <c r="B719" i="13"/>
  <c r="B718" i="13"/>
  <c r="B717" i="13"/>
  <c r="B716" i="13"/>
  <c r="B715" i="13"/>
  <c r="B714" i="13"/>
  <c r="B713" i="13"/>
  <c r="B712" i="13"/>
  <c r="B711" i="13"/>
  <c r="B710" i="13"/>
  <c r="B709" i="13"/>
  <c r="B708" i="13"/>
  <c r="B707" i="13"/>
  <c r="B706" i="13"/>
  <c r="B705" i="13"/>
  <c r="B704" i="13"/>
  <c r="B703" i="13"/>
  <c r="B702" i="13"/>
  <c r="B701" i="13"/>
  <c r="B700" i="13"/>
  <c r="B699" i="13"/>
  <c r="B698" i="13"/>
  <c r="B697" i="13"/>
  <c r="B696" i="13"/>
  <c r="B695" i="13"/>
  <c r="B694" i="13"/>
  <c r="B693" i="13"/>
  <c r="B692" i="13"/>
  <c r="B691" i="13"/>
  <c r="B690" i="13"/>
  <c r="B689" i="13"/>
  <c r="B688" i="13"/>
  <c r="B687" i="13"/>
  <c r="B686" i="13"/>
  <c r="B685" i="13"/>
  <c r="B684" i="13"/>
  <c r="B683" i="13"/>
  <c r="B682" i="13"/>
  <c r="B681" i="13"/>
  <c r="B680" i="13"/>
  <c r="B679" i="13"/>
  <c r="B678" i="13"/>
  <c r="B677" i="13"/>
  <c r="B676" i="13"/>
  <c r="B675" i="13"/>
  <c r="B674" i="13"/>
  <c r="B673" i="13"/>
  <c r="B672" i="13"/>
  <c r="B671" i="13"/>
  <c r="B670" i="13"/>
  <c r="B669" i="13"/>
  <c r="B668" i="13"/>
  <c r="B667" i="13"/>
  <c r="B666" i="13"/>
  <c r="B665" i="13"/>
  <c r="B664" i="13"/>
  <c r="B663" i="13"/>
  <c r="B662" i="13"/>
  <c r="B661" i="13"/>
  <c r="B660" i="13"/>
  <c r="B659" i="13"/>
  <c r="B658" i="13"/>
  <c r="B657" i="13"/>
  <c r="B656" i="13"/>
  <c r="B655" i="13"/>
  <c r="B654" i="13"/>
  <c r="B653" i="13"/>
  <c r="B652" i="13"/>
  <c r="B651" i="13"/>
  <c r="B650" i="13"/>
  <c r="B649" i="13"/>
  <c r="B648" i="13"/>
  <c r="B647" i="13"/>
  <c r="B646" i="13"/>
  <c r="B645" i="13"/>
  <c r="B644" i="13"/>
  <c r="B643" i="13"/>
  <c r="B642" i="13"/>
  <c r="B641" i="13"/>
  <c r="B640" i="13"/>
  <c r="B639" i="13"/>
  <c r="B638" i="13"/>
  <c r="B637" i="13"/>
  <c r="B636" i="13"/>
  <c r="B635" i="13"/>
  <c r="B634" i="13"/>
  <c r="B633" i="13"/>
  <c r="B632" i="13"/>
  <c r="B631" i="13"/>
  <c r="B630" i="13"/>
  <c r="B629" i="13"/>
  <c r="B628" i="13"/>
  <c r="B627" i="13"/>
  <c r="B626" i="13"/>
  <c r="B625" i="13"/>
  <c r="B624" i="13"/>
  <c r="B623" i="13"/>
  <c r="B622" i="13"/>
  <c r="B621" i="13"/>
  <c r="B620" i="13"/>
  <c r="B619" i="13"/>
  <c r="B618" i="13"/>
  <c r="B617" i="13"/>
  <c r="B616" i="13"/>
  <c r="B615" i="13"/>
  <c r="B614" i="13"/>
  <c r="B613" i="13"/>
  <c r="B612" i="13"/>
  <c r="B611" i="13"/>
  <c r="B610" i="13"/>
  <c r="B609" i="13"/>
  <c r="B608" i="13"/>
  <c r="B607" i="13"/>
  <c r="B606" i="13"/>
  <c r="B605" i="13"/>
  <c r="B604" i="13"/>
  <c r="B603" i="13"/>
  <c r="B602" i="13"/>
  <c r="B601" i="13"/>
  <c r="B600" i="13"/>
  <c r="B599" i="13"/>
  <c r="B598" i="13"/>
  <c r="B597" i="13"/>
  <c r="B596" i="13"/>
  <c r="B595" i="13"/>
  <c r="B594" i="13"/>
  <c r="B593" i="13"/>
  <c r="B592" i="13"/>
  <c r="B591" i="13"/>
  <c r="B590" i="13"/>
  <c r="B589" i="13"/>
  <c r="B588" i="13"/>
  <c r="B587" i="13"/>
  <c r="B586" i="13"/>
  <c r="B585" i="13"/>
  <c r="B584" i="13"/>
  <c r="B583" i="13"/>
  <c r="B582" i="13"/>
  <c r="B581" i="13"/>
  <c r="B580" i="13"/>
  <c r="B579" i="13"/>
  <c r="B578" i="13"/>
  <c r="B577" i="13"/>
  <c r="B576" i="13"/>
  <c r="B575" i="13"/>
  <c r="B574" i="13"/>
  <c r="B573" i="13"/>
  <c r="B572" i="13"/>
  <c r="B571" i="13"/>
  <c r="B570" i="13"/>
  <c r="B569" i="13"/>
  <c r="B568" i="13"/>
  <c r="B567" i="13"/>
  <c r="B566" i="13"/>
  <c r="B565" i="13"/>
  <c r="B564" i="13"/>
  <c r="B563" i="13"/>
  <c r="B562" i="13"/>
  <c r="B561" i="13"/>
  <c r="B560" i="13"/>
  <c r="B559" i="13"/>
  <c r="B558" i="13"/>
  <c r="B557" i="13"/>
  <c r="B556" i="13"/>
  <c r="B555" i="13"/>
  <c r="B554" i="13"/>
  <c r="B553" i="13"/>
  <c r="B552" i="13"/>
  <c r="B551" i="13"/>
  <c r="B550" i="13"/>
  <c r="B549" i="13"/>
  <c r="B548" i="13"/>
  <c r="B547" i="13"/>
  <c r="B546" i="13"/>
  <c r="B545" i="13"/>
  <c r="B544" i="13"/>
  <c r="B543" i="13"/>
  <c r="B542" i="13"/>
  <c r="B541" i="13"/>
  <c r="B540" i="13"/>
  <c r="B539" i="13"/>
  <c r="B538" i="13"/>
  <c r="B537" i="13"/>
  <c r="B536" i="13"/>
  <c r="B535" i="13"/>
  <c r="B534" i="13"/>
  <c r="B533" i="13"/>
  <c r="B532" i="13"/>
  <c r="B531" i="13"/>
  <c r="B530" i="13"/>
  <c r="B529" i="13"/>
  <c r="B528" i="13"/>
  <c r="B527" i="13"/>
  <c r="B526" i="13"/>
  <c r="B525" i="13"/>
  <c r="B524" i="13"/>
  <c r="B523" i="13"/>
  <c r="B522" i="13"/>
  <c r="B521" i="13"/>
  <c r="B520" i="13"/>
  <c r="B519" i="13"/>
  <c r="B518" i="13"/>
  <c r="B517" i="13"/>
  <c r="B516" i="13"/>
  <c r="B515" i="13"/>
  <c r="B514" i="13"/>
  <c r="B513" i="13"/>
  <c r="B512" i="13"/>
  <c r="B511" i="13"/>
  <c r="B510" i="13"/>
  <c r="B509" i="13"/>
  <c r="B508" i="13"/>
  <c r="B507" i="13"/>
  <c r="B506" i="13"/>
  <c r="B505" i="13"/>
  <c r="B504" i="13"/>
  <c r="B503" i="13"/>
  <c r="B502" i="13"/>
  <c r="B501" i="13"/>
  <c r="B500" i="13"/>
  <c r="B499" i="13"/>
  <c r="B498" i="13"/>
  <c r="B497" i="13"/>
  <c r="B496" i="13"/>
  <c r="B495" i="13"/>
  <c r="B494" i="13"/>
  <c r="B493" i="13"/>
  <c r="B492" i="13"/>
  <c r="B491" i="13"/>
  <c r="B490" i="13"/>
  <c r="B489" i="13"/>
  <c r="B488" i="13"/>
  <c r="B487" i="13"/>
  <c r="B486" i="13"/>
  <c r="B485" i="13"/>
  <c r="B484" i="13"/>
  <c r="B483" i="13"/>
  <c r="B482" i="13"/>
  <c r="B481" i="13"/>
  <c r="B480" i="13"/>
  <c r="B479" i="13"/>
  <c r="B478" i="13"/>
  <c r="B477" i="13"/>
  <c r="B476" i="13"/>
  <c r="B475" i="13"/>
  <c r="B474" i="13"/>
  <c r="B473" i="13"/>
  <c r="B472" i="13"/>
  <c r="B471" i="13"/>
  <c r="B470" i="13"/>
  <c r="B469" i="13"/>
  <c r="B468" i="13"/>
  <c r="B467" i="13"/>
  <c r="B466" i="13"/>
  <c r="B465" i="13"/>
  <c r="B464" i="13"/>
  <c r="B463" i="13"/>
  <c r="B462" i="13"/>
  <c r="B461" i="13"/>
  <c r="B460" i="13"/>
  <c r="B459" i="13"/>
  <c r="B458" i="13"/>
  <c r="B457" i="13"/>
  <c r="B456" i="13"/>
  <c r="B455" i="13"/>
  <c r="B454" i="13"/>
  <c r="B453" i="13"/>
  <c r="B452" i="13"/>
  <c r="B451" i="13"/>
  <c r="B450" i="13"/>
  <c r="B449" i="13"/>
  <c r="B448" i="13"/>
  <c r="B447" i="13"/>
  <c r="B446" i="13"/>
  <c r="B445" i="13"/>
  <c r="B444" i="13"/>
  <c r="B443" i="13"/>
  <c r="B442" i="13"/>
  <c r="B441" i="13"/>
  <c r="B440" i="13"/>
  <c r="B439" i="13"/>
  <c r="B438" i="13"/>
  <c r="B437" i="13"/>
  <c r="B436" i="13"/>
  <c r="B435" i="13"/>
  <c r="B434" i="13"/>
  <c r="B433" i="13"/>
  <c r="B432" i="13"/>
  <c r="B431" i="13"/>
  <c r="B430" i="13"/>
  <c r="B429" i="13"/>
  <c r="B428" i="13"/>
  <c r="B427" i="13"/>
  <c r="B426" i="13"/>
  <c r="B425" i="13"/>
  <c r="B424" i="13"/>
  <c r="B423" i="13"/>
  <c r="B422" i="13"/>
  <c r="B421" i="13"/>
  <c r="B420" i="13"/>
  <c r="B419" i="13"/>
  <c r="B418" i="13"/>
  <c r="B417" i="13"/>
  <c r="B416" i="13"/>
  <c r="B415" i="13"/>
  <c r="B414" i="13"/>
  <c r="B413" i="13"/>
  <c r="B412" i="13"/>
  <c r="B411" i="13"/>
  <c r="B410" i="13"/>
  <c r="B409" i="13"/>
  <c r="B408" i="13"/>
  <c r="B407" i="13"/>
  <c r="B406" i="13"/>
  <c r="B405" i="13"/>
  <c r="B404" i="13"/>
  <c r="B403" i="13"/>
  <c r="B402" i="13"/>
  <c r="B401" i="13"/>
  <c r="B400" i="13"/>
  <c r="B399" i="13"/>
  <c r="B398" i="13"/>
  <c r="B397" i="13"/>
  <c r="B396" i="13"/>
  <c r="B395" i="13"/>
  <c r="B394" i="13"/>
  <c r="B393" i="13"/>
  <c r="B392" i="13"/>
  <c r="B391" i="13"/>
  <c r="B390" i="13"/>
  <c r="B389" i="13"/>
  <c r="B388" i="13"/>
  <c r="B387" i="13"/>
  <c r="B386" i="13"/>
  <c r="B385" i="13"/>
  <c r="B384" i="13"/>
  <c r="B383" i="13"/>
  <c r="B382" i="13"/>
  <c r="B381" i="13"/>
  <c r="B380" i="13"/>
  <c r="B379" i="13"/>
  <c r="B378" i="13"/>
  <c r="B377" i="13"/>
  <c r="B376" i="13"/>
  <c r="B375" i="13"/>
  <c r="B374" i="13"/>
  <c r="B373" i="13"/>
  <c r="B372" i="13"/>
  <c r="B371" i="13"/>
  <c r="B370" i="13"/>
  <c r="B369" i="13"/>
  <c r="B368" i="13"/>
  <c r="B367" i="13"/>
  <c r="B366" i="13"/>
  <c r="B365" i="13"/>
  <c r="B364" i="13"/>
  <c r="B363" i="13"/>
  <c r="B362" i="13"/>
  <c r="B361" i="13"/>
  <c r="B360" i="13"/>
  <c r="B359" i="13"/>
  <c r="B358" i="13"/>
  <c r="B357" i="13"/>
  <c r="B356" i="13"/>
  <c r="B355" i="13"/>
  <c r="B354" i="13"/>
  <c r="B353" i="13"/>
  <c r="B352" i="13"/>
  <c r="B351" i="13"/>
  <c r="B350" i="13"/>
  <c r="B349" i="13"/>
  <c r="B348" i="13"/>
  <c r="B347" i="13"/>
  <c r="B346" i="13"/>
  <c r="B345" i="13"/>
  <c r="B344" i="13"/>
  <c r="B343" i="13"/>
  <c r="B342" i="13"/>
  <c r="B341" i="13"/>
  <c r="B340" i="13"/>
  <c r="B339" i="13"/>
  <c r="B338" i="13"/>
  <c r="B337" i="13"/>
  <c r="B336" i="13"/>
  <c r="B335" i="13"/>
  <c r="B334" i="13"/>
  <c r="B333" i="13"/>
  <c r="B332" i="13"/>
  <c r="B331" i="13"/>
  <c r="B330" i="13"/>
  <c r="B329" i="13"/>
  <c r="B328" i="13"/>
  <c r="B327" i="13"/>
  <c r="B326" i="13"/>
  <c r="B325" i="13"/>
  <c r="B324" i="13"/>
  <c r="B323" i="13"/>
  <c r="B322" i="13"/>
  <c r="B321" i="13"/>
  <c r="B320" i="13"/>
  <c r="B319" i="13"/>
  <c r="B318" i="13"/>
  <c r="B317" i="13"/>
  <c r="B316" i="13"/>
  <c r="B315" i="13"/>
  <c r="B314" i="13"/>
  <c r="B313" i="13"/>
  <c r="B312" i="13"/>
  <c r="B311" i="13"/>
  <c r="B310" i="13"/>
  <c r="B309" i="13"/>
  <c r="B308" i="13"/>
  <c r="B307" i="13"/>
  <c r="B306" i="13"/>
  <c r="B305" i="13"/>
  <c r="B304" i="13"/>
  <c r="B303" i="13"/>
  <c r="B302" i="13"/>
  <c r="B301" i="13"/>
  <c r="B300" i="13"/>
  <c r="B299" i="13"/>
  <c r="B298" i="13"/>
  <c r="B297" i="13"/>
  <c r="B296" i="13"/>
  <c r="B295" i="13"/>
  <c r="B294" i="13"/>
  <c r="B293" i="13"/>
  <c r="B292" i="13"/>
  <c r="B291" i="13"/>
  <c r="B290" i="13"/>
  <c r="B289" i="13"/>
  <c r="B288" i="13"/>
  <c r="B287" i="13"/>
  <c r="B286" i="13"/>
  <c r="B285" i="13"/>
  <c r="B284" i="13"/>
  <c r="B283" i="13"/>
  <c r="B282" i="13"/>
  <c r="B281" i="13"/>
  <c r="B280" i="13"/>
  <c r="B279" i="13"/>
  <c r="B278" i="13"/>
  <c r="B277" i="13"/>
  <c r="B276" i="13"/>
  <c r="B275" i="13"/>
  <c r="B274" i="13"/>
  <c r="B273" i="13"/>
  <c r="B272" i="13"/>
  <c r="B271" i="13"/>
  <c r="B270" i="13"/>
  <c r="B269" i="13"/>
  <c r="B268" i="13"/>
  <c r="B267" i="13"/>
  <c r="B266" i="13"/>
  <c r="B265" i="13"/>
  <c r="B264" i="13"/>
  <c r="B263" i="13"/>
  <c r="B262" i="13"/>
  <c r="B261" i="13"/>
  <c r="B260" i="13"/>
  <c r="B259" i="13"/>
  <c r="B258" i="13"/>
  <c r="B257" i="13"/>
  <c r="B256" i="13"/>
  <c r="B255" i="13"/>
  <c r="B254" i="13"/>
  <c r="B253" i="13"/>
  <c r="B252" i="13"/>
  <c r="B251" i="13"/>
  <c r="B250" i="13"/>
  <c r="B249" i="13"/>
  <c r="B248" i="13"/>
  <c r="B247" i="13"/>
  <c r="B246" i="13"/>
  <c r="B245" i="13"/>
  <c r="B244" i="13"/>
  <c r="B243" i="13"/>
  <c r="B242" i="13"/>
  <c r="B241" i="13"/>
  <c r="B240" i="13"/>
  <c r="B239" i="13"/>
  <c r="B238" i="13"/>
  <c r="B237" i="13"/>
  <c r="B236" i="13"/>
  <c r="B235" i="13"/>
  <c r="B234" i="13"/>
  <c r="B233" i="13"/>
  <c r="B232" i="13"/>
  <c r="B231" i="13"/>
  <c r="B230" i="13"/>
  <c r="B229" i="13"/>
  <c r="B228" i="13"/>
  <c r="B227" i="13"/>
  <c r="B226" i="13"/>
  <c r="B225" i="13"/>
  <c r="B224" i="13"/>
  <c r="B223" i="13"/>
  <c r="B222" i="13"/>
  <c r="B221" i="13"/>
  <c r="B220" i="13"/>
  <c r="B219" i="13"/>
  <c r="B218" i="13"/>
  <c r="B217" i="13"/>
  <c r="B216" i="13"/>
  <c r="B215" i="13"/>
  <c r="B214" i="13"/>
  <c r="B213" i="13"/>
  <c r="B212" i="13"/>
  <c r="B211" i="13"/>
  <c r="B210" i="13"/>
  <c r="B209" i="13"/>
  <c r="B208" i="13"/>
  <c r="B207" i="13"/>
  <c r="B206" i="13"/>
  <c r="B205" i="13"/>
  <c r="B204" i="13"/>
  <c r="B203" i="13"/>
  <c r="B202" i="13"/>
  <c r="B201" i="13"/>
  <c r="B200" i="13"/>
  <c r="B199" i="13"/>
  <c r="B198" i="13"/>
  <c r="B197" i="13"/>
  <c r="B196" i="13"/>
  <c r="B195" i="13"/>
  <c r="B194" i="13"/>
  <c r="B193" i="13"/>
  <c r="B192" i="13"/>
  <c r="B191" i="13"/>
  <c r="B190" i="13"/>
  <c r="B189" i="13"/>
  <c r="B188" i="13"/>
  <c r="B187" i="13"/>
  <c r="B186" i="13"/>
  <c r="B185" i="13"/>
  <c r="B184" i="13"/>
  <c r="B183" i="13"/>
  <c r="B182" i="13"/>
  <c r="B181" i="13"/>
  <c r="B180" i="13"/>
  <c r="B179" i="13"/>
  <c r="B178" i="13"/>
  <c r="B177" i="13"/>
  <c r="B176" i="13"/>
  <c r="B175" i="13"/>
  <c r="B174" i="13"/>
  <c r="B173" i="13"/>
  <c r="B172" i="13"/>
  <c r="B171" i="13"/>
  <c r="B170" i="13"/>
  <c r="B169" i="13"/>
  <c r="B168" i="13"/>
  <c r="B167" i="13"/>
  <c r="B166" i="13"/>
  <c r="B165" i="13"/>
  <c r="B164" i="13"/>
  <c r="B163" i="13"/>
  <c r="B162" i="13"/>
  <c r="B161" i="13"/>
  <c r="B160" i="13"/>
  <c r="B159" i="13"/>
  <c r="B158" i="13"/>
  <c r="B157" i="13"/>
  <c r="B156" i="13"/>
  <c r="B155" i="13"/>
  <c r="B154" i="13"/>
  <c r="B153" i="13"/>
  <c r="B152" i="13"/>
  <c r="B151" i="13"/>
  <c r="B150" i="13"/>
  <c r="B149" i="13"/>
  <c r="B148" i="13"/>
  <c r="B147" i="13"/>
  <c r="B146" i="13"/>
  <c r="B145" i="13"/>
  <c r="B144" i="13"/>
  <c r="B143" i="13"/>
  <c r="B142" i="13"/>
  <c r="B141" i="13"/>
  <c r="B140" i="13"/>
  <c r="B139" i="13"/>
  <c r="B138" i="13"/>
  <c r="B137" i="13"/>
  <c r="B136" i="13"/>
  <c r="B135" i="13"/>
  <c r="B134" i="13"/>
  <c r="B133" i="13"/>
  <c r="B132" i="13"/>
  <c r="B131" i="13"/>
  <c r="B130" i="13"/>
  <c r="B129" i="13"/>
  <c r="B128" i="13"/>
  <c r="B127" i="13"/>
  <c r="B126" i="13"/>
  <c r="B125" i="13"/>
  <c r="B124" i="13"/>
  <c r="B123" i="13"/>
  <c r="B122" i="13"/>
  <c r="B121" i="13"/>
  <c r="B120" i="13"/>
  <c r="B119" i="13"/>
  <c r="B118" i="13"/>
  <c r="B117" i="13"/>
  <c r="B116" i="13"/>
  <c r="B115" i="13"/>
  <c r="B114" i="13"/>
  <c r="B113" i="13"/>
  <c r="B112" i="13"/>
  <c r="B111" i="13"/>
  <c r="B110" i="13"/>
  <c r="B109" i="13"/>
  <c r="B108" i="13"/>
  <c r="B107" i="13"/>
  <c r="B106" i="13"/>
  <c r="B105" i="13"/>
  <c r="B104" i="13"/>
  <c r="B103" i="13"/>
  <c r="B102" i="13"/>
  <c r="B101" i="13"/>
  <c r="B100" i="13"/>
  <c r="B99" i="13"/>
  <c r="B98" i="13"/>
  <c r="B97" i="13"/>
  <c r="B96" i="13"/>
  <c r="B95" i="13"/>
  <c r="B94" i="13"/>
  <c r="B93" i="13"/>
  <c r="B92" i="13"/>
  <c r="B91" i="13"/>
  <c r="B90" i="13"/>
  <c r="B89" i="13"/>
  <c r="B88" i="13"/>
  <c r="B87" i="13"/>
  <c r="B86" i="13"/>
  <c r="B85" i="13"/>
  <c r="B84" i="13"/>
  <c r="B83" i="13"/>
  <c r="B82" i="13"/>
  <c r="B81" i="13"/>
  <c r="B80" i="13"/>
  <c r="B79" i="13"/>
  <c r="B78" i="13"/>
  <c r="B77" i="13"/>
  <c r="B76" i="13"/>
  <c r="B75" i="13"/>
  <c r="B74" i="13"/>
  <c r="B73" i="13"/>
  <c r="B72" i="13"/>
  <c r="B71" i="13"/>
  <c r="B70" i="13"/>
  <c r="B69" i="13"/>
  <c r="B68" i="13"/>
  <c r="B67" i="13"/>
  <c r="B66" i="13"/>
  <c r="B65" i="13"/>
  <c r="B64" i="13"/>
  <c r="B63" i="13"/>
  <c r="B62" i="13"/>
  <c r="B61" i="13"/>
  <c r="B60" i="13"/>
  <c r="B59" i="13"/>
  <c r="B58" i="13"/>
  <c r="B57" i="13"/>
  <c r="B56" i="13"/>
  <c r="B55" i="13"/>
  <c r="B54" i="13"/>
  <c r="B53" i="13"/>
  <c r="B52" i="13"/>
  <c r="B51" i="13"/>
  <c r="B50" i="13"/>
  <c r="B49" i="13"/>
  <c r="B48" i="13"/>
  <c r="B47" i="13"/>
  <c r="B46" i="13"/>
  <c r="B45" i="13"/>
  <c r="B44" i="13"/>
  <c r="B43" i="13"/>
  <c r="B42" i="13"/>
  <c r="B41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J27" i="13"/>
  <c r="B27" i="13"/>
  <c r="J26" i="13"/>
  <c r="B26" i="13"/>
  <c r="J25" i="13"/>
  <c r="B25" i="13"/>
  <c r="B24" i="13"/>
  <c r="B23" i="13"/>
  <c r="J22" i="13"/>
  <c r="B22" i="13"/>
  <c r="B21" i="13"/>
  <c r="J20" i="13"/>
  <c r="B20" i="13"/>
  <c r="B19" i="13"/>
  <c r="B18" i="13"/>
  <c r="B17" i="13"/>
  <c r="B16" i="13"/>
  <c r="B15" i="13"/>
  <c r="B14" i="13"/>
  <c r="J13" i="13"/>
  <c r="J15" i="13" s="1"/>
  <c r="B13" i="13"/>
  <c r="B12" i="13"/>
  <c r="B11" i="13"/>
  <c r="B10" i="13"/>
  <c r="B9" i="13"/>
  <c r="B8" i="13"/>
  <c r="B7" i="13"/>
  <c r="B6" i="13"/>
  <c r="B5" i="13"/>
  <c r="B4" i="13"/>
  <c r="I5" i="6"/>
  <c r="H9" i="6"/>
  <c r="H21" i="6"/>
  <c r="H23" i="6"/>
  <c r="H26" i="6"/>
  <c r="H29" i="6"/>
  <c r="H30" i="6"/>
  <c r="H37" i="6"/>
  <c r="H38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6" i="6"/>
  <c r="H35" i="6"/>
  <c r="H34" i="6"/>
  <c r="H33" i="6"/>
  <c r="H32" i="6"/>
  <c r="H31" i="6"/>
  <c r="H28" i="6"/>
  <c r="H27" i="6"/>
  <c r="H25" i="6"/>
  <c r="H24" i="6"/>
  <c r="H22" i="6"/>
  <c r="H20" i="6"/>
  <c r="H19" i="6"/>
  <c r="H18" i="6"/>
  <c r="H17" i="6"/>
  <c r="H16" i="6"/>
  <c r="H15" i="6"/>
  <c r="H14" i="6"/>
  <c r="H13" i="6"/>
  <c r="H12" i="6"/>
  <c r="H11" i="6"/>
  <c r="H10" i="6"/>
  <c r="H8" i="6"/>
  <c r="H7" i="6"/>
  <c r="H6" i="6"/>
  <c r="H5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S44" i="12"/>
  <c r="P44" i="12"/>
  <c r="I5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6" i="12"/>
  <c r="H7" i="12"/>
  <c r="H8" i="12"/>
  <c r="H9" i="12"/>
  <c r="H10" i="12"/>
  <c r="H5" i="12"/>
  <c r="I5" i="20" l="1"/>
  <c r="J23" i="19"/>
  <c r="J23" i="18"/>
  <c r="J23" i="15"/>
  <c r="J23" i="14"/>
  <c r="J23" i="13"/>
  <c r="AH21" i="7"/>
  <c r="AH19" i="7"/>
  <c r="AG19" i="7"/>
  <c r="AG21" i="7"/>
  <c r="AF21" i="7"/>
  <c r="AF19" i="7"/>
  <c r="C101" i="12"/>
  <c r="C102" i="12" s="1"/>
  <c r="C82" i="12"/>
  <c r="C83" i="12"/>
  <c r="C84" i="12" s="1"/>
  <c r="C85" i="12" s="1"/>
  <c r="C86" i="12" s="1"/>
  <c r="C87" i="12" s="1"/>
  <c r="C88" i="12" s="1"/>
  <c r="C89" i="12" s="1"/>
  <c r="C90" i="12" s="1"/>
  <c r="C91" i="12" s="1"/>
  <c r="C92" i="12" s="1"/>
  <c r="C93" i="12" s="1"/>
  <c r="C94" i="12" s="1"/>
  <c r="C95" i="12" s="1"/>
  <c r="C96" i="12" s="1"/>
  <c r="C97" i="12" s="1"/>
  <c r="C98" i="12" s="1"/>
  <c r="C99" i="12" s="1"/>
  <c r="C100" i="12" s="1"/>
  <c r="J22" i="11"/>
  <c r="J22" i="10"/>
  <c r="J22" i="8"/>
  <c r="J22" i="4"/>
  <c r="J22" i="2"/>
  <c r="J22" i="1"/>
  <c r="K22" i="12"/>
  <c r="K22" i="6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81" i="12"/>
  <c r="G80" i="12"/>
  <c r="G79" i="12"/>
  <c r="G78" i="12"/>
  <c r="G77" i="12"/>
  <c r="G76" i="12"/>
  <c r="G75" i="12"/>
  <c r="G74" i="12"/>
  <c r="G73" i="12"/>
  <c r="G72" i="12"/>
  <c r="G71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K15" i="12"/>
  <c r="G15" i="12"/>
  <c r="G14" i="12"/>
  <c r="G13" i="12"/>
  <c r="G12" i="12"/>
  <c r="G11" i="12"/>
  <c r="G10" i="12"/>
  <c r="G9" i="12"/>
  <c r="K8" i="12"/>
  <c r="G8" i="12"/>
  <c r="G7" i="12"/>
  <c r="G6" i="12"/>
  <c r="G5" i="12"/>
  <c r="C5" i="12"/>
  <c r="C6" i="12" s="1"/>
  <c r="C7" i="12" s="1"/>
  <c r="C8" i="12" s="1"/>
  <c r="C9" i="12" s="1"/>
  <c r="C10" i="12" s="1"/>
  <c r="C11" i="12" s="1"/>
  <c r="C12" i="12" s="1"/>
  <c r="C13" i="12" s="1"/>
  <c r="C14" i="12" s="1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27" i="12" s="1"/>
  <c r="C28" i="12" s="1"/>
  <c r="C29" i="12" s="1"/>
  <c r="C30" i="12" s="1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C56" i="12" s="1"/>
  <c r="C57" i="12" s="1"/>
  <c r="C58" i="12" s="1"/>
  <c r="C59" i="12" s="1"/>
  <c r="C60" i="12" s="1"/>
  <c r="C61" i="12" s="1"/>
  <c r="C62" i="12" s="1"/>
  <c r="C63" i="12" s="1"/>
  <c r="C64" i="12" s="1"/>
  <c r="C65" i="12" s="1"/>
  <c r="C66" i="12" s="1"/>
  <c r="C67" i="12" s="1"/>
  <c r="C68" i="12" s="1"/>
  <c r="C69" i="12" s="1"/>
  <c r="C70" i="12" s="1"/>
  <c r="C71" i="12" s="1"/>
  <c r="C72" i="12" s="1"/>
  <c r="C73" i="12" s="1"/>
  <c r="C74" i="12" s="1"/>
  <c r="C75" i="12" s="1"/>
  <c r="C76" i="12" s="1"/>
  <c r="C77" i="12" s="1"/>
  <c r="C78" i="12" s="1"/>
  <c r="C79" i="12" s="1"/>
  <c r="C80" i="12" s="1"/>
  <c r="C81" i="12" s="1"/>
  <c r="K15" i="6"/>
  <c r="K8" i="6"/>
  <c r="B2445" i="11"/>
  <c r="B2444" i="11"/>
  <c r="B2443" i="11"/>
  <c r="B2442" i="11"/>
  <c r="B2441" i="11"/>
  <c r="B2440" i="11"/>
  <c r="B2439" i="11"/>
  <c r="B2438" i="11"/>
  <c r="B2437" i="11"/>
  <c r="B2436" i="11"/>
  <c r="B2435" i="11"/>
  <c r="B2434" i="11"/>
  <c r="B2433" i="11"/>
  <c r="B2432" i="11"/>
  <c r="B2431" i="11"/>
  <c r="B2430" i="11"/>
  <c r="B2429" i="11"/>
  <c r="B2428" i="11"/>
  <c r="B2427" i="11"/>
  <c r="B2426" i="11"/>
  <c r="B2425" i="11"/>
  <c r="B2424" i="11"/>
  <c r="B2423" i="11"/>
  <c r="B2422" i="11"/>
  <c r="B2421" i="11"/>
  <c r="B2420" i="11"/>
  <c r="B2419" i="11"/>
  <c r="B2418" i="11"/>
  <c r="B2417" i="11"/>
  <c r="B2416" i="11"/>
  <c r="B2415" i="11"/>
  <c r="B2414" i="11"/>
  <c r="B2413" i="11"/>
  <c r="B2412" i="11"/>
  <c r="B2411" i="11"/>
  <c r="B2410" i="11"/>
  <c r="B2409" i="11"/>
  <c r="B2408" i="11"/>
  <c r="B2407" i="11"/>
  <c r="B2406" i="11"/>
  <c r="B2405" i="11"/>
  <c r="B2404" i="11"/>
  <c r="B2403" i="11"/>
  <c r="B2402" i="11"/>
  <c r="B2401" i="11"/>
  <c r="B2400" i="11"/>
  <c r="B2399" i="11"/>
  <c r="B2398" i="11"/>
  <c r="B2397" i="11"/>
  <c r="B2396" i="11"/>
  <c r="B2395" i="11"/>
  <c r="B2394" i="11"/>
  <c r="B2393" i="11"/>
  <c r="B2392" i="11"/>
  <c r="B2391" i="11"/>
  <c r="B2390" i="11"/>
  <c r="B2389" i="11"/>
  <c r="B2388" i="11"/>
  <c r="B2387" i="11"/>
  <c r="B2386" i="11"/>
  <c r="B2385" i="11"/>
  <c r="B2384" i="11"/>
  <c r="B2383" i="11"/>
  <c r="B2382" i="11"/>
  <c r="B2381" i="11"/>
  <c r="B2380" i="11"/>
  <c r="B2379" i="11"/>
  <c r="B2378" i="11"/>
  <c r="B2377" i="11"/>
  <c r="B2376" i="11"/>
  <c r="B2375" i="11"/>
  <c r="B2374" i="11"/>
  <c r="B2373" i="11"/>
  <c r="B2372" i="11"/>
  <c r="B2371" i="11"/>
  <c r="B2370" i="11"/>
  <c r="B2369" i="11"/>
  <c r="B2368" i="11"/>
  <c r="B2367" i="11"/>
  <c r="B2366" i="11"/>
  <c r="B2365" i="11"/>
  <c r="B2364" i="11"/>
  <c r="B2363" i="11"/>
  <c r="B2362" i="11"/>
  <c r="B2361" i="11"/>
  <c r="B2360" i="11"/>
  <c r="B2359" i="11"/>
  <c r="B2358" i="11"/>
  <c r="B2357" i="11"/>
  <c r="B2356" i="11"/>
  <c r="B2355" i="11"/>
  <c r="B2354" i="11"/>
  <c r="B2353" i="11"/>
  <c r="B2352" i="11"/>
  <c r="B2351" i="11"/>
  <c r="B2350" i="11"/>
  <c r="B2349" i="11"/>
  <c r="B2348" i="11"/>
  <c r="B2347" i="11"/>
  <c r="B2346" i="11"/>
  <c r="B2345" i="11"/>
  <c r="B2344" i="11"/>
  <c r="B2343" i="11"/>
  <c r="B2342" i="11"/>
  <c r="B2341" i="11"/>
  <c r="B2340" i="11"/>
  <c r="B2339" i="11"/>
  <c r="B2338" i="11"/>
  <c r="B2337" i="11"/>
  <c r="B2336" i="11"/>
  <c r="B2335" i="11"/>
  <c r="B2334" i="11"/>
  <c r="B2333" i="11"/>
  <c r="B2332" i="11"/>
  <c r="B2331" i="11"/>
  <c r="B2330" i="11"/>
  <c r="B2329" i="11"/>
  <c r="B2328" i="11"/>
  <c r="B2327" i="11"/>
  <c r="B2326" i="11"/>
  <c r="B2325" i="11"/>
  <c r="B2324" i="11"/>
  <c r="B2323" i="11"/>
  <c r="B2322" i="11"/>
  <c r="B2321" i="11"/>
  <c r="B2320" i="11"/>
  <c r="B2319" i="11"/>
  <c r="B2318" i="11"/>
  <c r="B2317" i="11"/>
  <c r="B2316" i="11"/>
  <c r="B2315" i="11"/>
  <c r="B2314" i="11"/>
  <c r="B2313" i="11"/>
  <c r="B2312" i="11"/>
  <c r="B2311" i="11"/>
  <c r="B2310" i="11"/>
  <c r="B2309" i="11"/>
  <c r="B2308" i="11"/>
  <c r="B2307" i="11"/>
  <c r="B2306" i="11"/>
  <c r="B2305" i="11"/>
  <c r="B2304" i="11"/>
  <c r="B2303" i="11"/>
  <c r="B2302" i="11"/>
  <c r="B2301" i="11"/>
  <c r="B2300" i="11"/>
  <c r="B2299" i="11"/>
  <c r="B2298" i="11"/>
  <c r="B2297" i="11"/>
  <c r="B2296" i="11"/>
  <c r="B2295" i="11"/>
  <c r="B2294" i="11"/>
  <c r="B2293" i="11"/>
  <c r="B2292" i="11"/>
  <c r="B2291" i="11"/>
  <c r="B2290" i="11"/>
  <c r="B2289" i="11"/>
  <c r="B2288" i="11"/>
  <c r="B2287" i="11"/>
  <c r="B2286" i="11"/>
  <c r="B2285" i="11"/>
  <c r="B2284" i="11"/>
  <c r="B2283" i="11"/>
  <c r="B2282" i="11"/>
  <c r="B2281" i="11"/>
  <c r="B2280" i="11"/>
  <c r="B2279" i="11"/>
  <c r="B2278" i="11"/>
  <c r="B2277" i="11"/>
  <c r="B2276" i="11"/>
  <c r="B2275" i="11"/>
  <c r="B2274" i="11"/>
  <c r="B2273" i="11"/>
  <c r="B2272" i="11"/>
  <c r="B2271" i="11"/>
  <c r="B2270" i="11"/>
  <c r="B2269" i="11"/>
  <c r="B2268" i="11"/>
  <c r="B2267" i="11"/>
  <c r="B2266" i="11"/>
  <c r="B2265" i="11"/>
  <c r="B2264" i="11"/>
  <c r="B2263" i="11"/>
  <c r="B2262" i="11"/>
  <c r="B2261" i="11"/>
  <c r="B2260" i="11"/>
  <c r="B2259" i="11"/>
  <c r="B2258" i="11"/>
  <c r="B2257" i="11"/>
  <c r="B2256" i="11"/>
  <c r="B2255" i="11"/>
  <c r="B2254" i="11"/>
  <c r="B2253" i="11"/>
  <c r="B2252" i="11"/>
  <c r="B2251" i="11"/>
  <c r="B2250" i="11"/>
  <c r="B2249" i="11"/>
  <c r="B2248" i="11"/>
  <c r="B2247" i="11"/>
  <c r="B2246" i="11"/>
  <c r="B2245" i="11"/>
  <c r="B2244" i="11"/>
  <c r="B2243" i="11"/>
  <c r="B2242" i="11"/>
  <c r="B2241" i="11"/>
  <c r="B2240" i="11"/>
  <c r="B2239" i="11"/>
  <c r="B2238" i="11"/>
  <c r="B2237" i="11"/>
  <c r="B2236" i="11"/>
  <c r="B2235" i="11"/>
  <c r="B2234" i="11"/>
  <c r="B2233" i="11"/>
  <c r="B2232" i="11"/>
  <c r="B2231" i="11"/>
  <c r="B2230" i="11"/>
  <c r="B2229" i="11"/>
  <c r="B2228" i="11"/>
  <c r="B2227" i="11"/>
  <c r="B2226" i="11"/>
  <c r="B2225" i="11"/>
  <c r="B2224" i="11"/>
  <c r="B2223" i="11"/>
  <c r="B2222" i="11"/>
  <c r="B2221" i="11"/>
  <c r="B2220" i="11"/>
  <c r="B2219" i="11"/>
  <c r="B2218" i="11"/>
  <c r="B2217" i="11"/>
  <c r="B2216" i="11"/>
  <c r="B2215" i="11"/>
  <c r="B2214" i="11"/>
  <c r="B2213" i="11"/>
  <c r="B2212" i="11"/>
  <c r="B2211" i="11"/>
  <c r="B2210" i="11"/>
  <c r="B2209" i="11"/>
  <c r="B2208" i="11"/>
  <c r="B2207" i="11"/>
  <c r="B2206" i="11"/>
  <c r="B2205" i="11"/>
  <c r="B2204" i="11"/>
  <c r="B2203" i="11"/>
  <c r="B2202" i="11"/>
  <c r="B2201" i="11"/>
  <c r="B2200" i="11"/>
  <c r="B2199" i="11"/>
  <c r="B2198" i="11"/>
  <c r="B2197" i="11"/>
  <c r="B2196" i="11"/>
  <c r="B2195" i="11"/>
  <c r="B2194" i="11"/>
  <c r="B2193" i="11"/>
  <c r="B2192" i="11"/>
  <c r="B2191" i="11"/>
  <c r="B2190" i="11"/>
  <c r="B2189" i="11"/>
  <c r="B2188" i="11"/>
  <c r="B2187" i="11"/>
  <c r="B2186" i="11"/>
  <c r="B2185" i="11"/>
  <c r="B2184" i="11"/>
  <c r="B2183" i="11"/>
  <c r="B2182" i="11"/>
  <c r="B2181" i="11"/>
  <c r="B2180" i="11"/>
  <c r="B2179" i="11"/>
  <c r="B2178" i="11"/>
  <c r="B2177" i="11"/>
  <c r="B2176" i="11"/>
  <c r="B2175" i="11"/>
  <c r="B2174" i="11"/>
  <c r="B2173" i="11"/>
  <c r="B2172" i="11"/>
  <c r="B2171" i="11"/>
  <c r="B2170" i="11"/>
  <c r="B2169" i="11"/>
  <c r="B2168" i="11"/>
  <c r="B2167" i="11"/>
  <c r="B2166" i="11"/>
  <c r="B2165" i="11"/>
  <c r="B2164" i="11"/>
  <c r="B2163" i="11"/>
  <c r="B2162" i="11"/>
  <c r="B2161" i="11"/>
  <c r="B2160" i="11"/>
  <c r="B2159" i="11"/>
  <c r="B2158" i="11"/>
  <c r="B2157" i="11"/>
  <c r="B2156" i="11"/>
  <c r="B2155" i="11"/>
  <c r="B2154" i="11"/>
  <c r="B2153" i="11"/>
  <c r="B2152" i="11"/>
  <c r="B2151" i="11"/>
  <c r="B2150" i="11"/>
  <c r="B2149" i="11"/>
  <c r="B2148" i="11"/>
  <c r="B2147" i="11"/>
  <c r="B2146" i="11"/>
  <c r="B2145" i="11"/>
  <c r="B2144" i="11"/>
  <c r="B2143" i="11"/>
  <c r="B2142" i="11"/>
  <c r="B2141" i="11"/>
  <c r="B2140" i="11"/>
  <c r="B2139" i="11"/>
  <c r="B2138" i="11"/>
  <c r="B2137" i="11"/>
  <c r="B2136" i="11"/>
  <c r="B2135" i="11"/>
  <c r="B2134" i="11"/>
  <c r="B2133" i="11"/>
  <c r="B2132" i="11"/>
  <c r="B2131" i="11"/>
  <c r="B2130" i="11"/>
  <c r="B2129" i="11"/>
  <c r="B2128" i="11"/>
  <c r="B2127" i="11"/>
  <c r="B2126" i="11"/>
  <c r="B2125" i="11"/>
  <c r="B2124" i="11"/>
  <c r="B2123" i="11"/>
  <c r="B2122" i="11"/>
  <c r="B2121" i="11"/>
  <c r="B2120" i="11"/>
  <c r="B2119" i="11"/>
  <c r="B2118" i="11"/>
  <c r="B2117" i="11"/>
  <c r="B2116" i="11"/>
  <c r="B2115" i="11"/>
  <c r="B2114" i="11"/>
  <c r="B2113" i="11"/>
  <c r="B2112" i="11"/>
  <c r="B2111" i="11"/>
  <c r="B2110" i="11"/>
  <c r="B2109" i="11"/>
  <c r="B2108" i="11"/>
  <c r="B2107" i="11"/>
  <c r="B2106" i="11"/>
  <c r="B2105" i="11"/>
  <c r="B2104" i="11"/>
  <c r="B2103" i="11"/>
  <c r="B2102" i="11"/>
  <c r="B2101" i="11"/>
  <c r="B2100" i="11"/>
  <c r="B2099" i="11"/>
  <c r="B2098" i="11"/>
  <c r="B2097" i="11"/>
  <c r="B2096" i="11"/>
  <c r="B2095" i="11"/>
  <c r="B2094" i="11"/>
  <c r="B2093" i="11"/>
  <c r="B2092" i="11"/>
  <c r="B2091" i="11"/>
  <c r="B2090" i="11"/>
  <c r="B2089" i="11"/>
  <c r="B2088" i="11"/>
  <c r="B2087" i="11"/>
  <c r="B2086" i="11"/>
  <c r="B2085" i="11"/>
  <c r="B2084" i="11"/>
  <c r="B2083" i="11"/>
  <c r="B2082" i="11"/>
  <c r="B2081" i="11"/>
  <c r="B2080" i="11"/>
  <c r="B2079" i="11"/>
  <c r="B2078" i="11"/>
  <c r="B2077" i="11"/>
  <c r="B2076" i="11"/>
  <c r="B2075" i="11"/>
  <c r="B2074" i="11"/>
  <c r="B2073" i="11"/>
  <c r="B2072" i="11"/>
  <c r="B2071" i="11"/>
  <c r="B2070" i="11"/>
  <c r="B2069" i="11"/>
  <c r="B2068" i="11"/>
  <c r="B2067" i="11"/>
  <c r="B2066" i="11"/>
  <c r="B2065" i="11"/>
  <c r="B2064" i="11"/>
  <c r="B2063" i="11"/>
  <c r="B2062" i="11"/>
  <c r="B2061" i="11"/>
  <c r="B2060" i="11"/>
  <c r="B2059" i="11"/>
  <c r="B2058" i="11"/>
  <c r="B2057" i="11"/>
  <c r="B2056" i="11"/>
  <c r="B2055" i="11"/>
  <c r="B2054" i="11"/>
  <c r="B2053" i="11"/>
  <c r="B2052" i="11"/>
  <c r="B2051" i="11"/>
  <c r="B2050" i="11"/>
  <c r="B2049" i="11"/>
  <c r="B2048" i="11"/>
  <c r="B2047" i="11"/>
  <c r="B2046" i="11"/>
  <c r="B2045" i="11"/>
  <c r="B2044" i="11"/>
  <c r="B2043" i="11"/>
  <c r="B2042" i="11"/>
  <c r="B2041" i="11"/>
  <c r="B2040" i="11"/>
  <c r="B2039" i="11"/>
  <c r="B2038" i="11"/>
  <c r="B2037" i="11"/>
  <c r="B2036" i="11"/>
  <c r="B2035" i="11"/>
  <c r="B2034" i="11"/>
  <c r="B2033" i="11"/>
  <c r="B2032" i="11"/>
  <c r="B2031" i="11"/>
  <c r="B2030" i="11"/>
  <c r="B2029" i="11"/>
  <c r="B2028" i="11"/>
  <c r="B2027" i="11"/>
  <c r="B2026" i="11"/>
  <c r="B2025" i="11"/>
  <c r="B2024" i="11"/>
  <c r="B2023" i="11"/>
  <c r="B2022" i="11"/>
  <c r="B2021" i="11"/>
  <c r="B2020" i="11"/>
  <c r="B2019" i="11"/>
  <c r="B2018" i="11"/>
  <c r="B2017" i="11"/>
  <c r="B2016" i="11"/>
  <c r="B2015" i="11"/>
  <c r="B2014" i="11"/>
  <c r="B2013" i="11"/>
  <c r="B2012" i="11"/>
  <c r="B2011" i="11"/>
  <c r="B2010" i="11"/>
  <c r="B2009" i="11"/>
  <c r="B2008" i="11"/>
  <c r="B2007" i="11"/>
  <c r="B2006" i="11"/>
  <c r="B2005" i="11"/>
  <c r="B2004" i="11"/>
  <c r="B2003" i="11"/>
  <c r="B2002" i="11"/>
  <c r="B2001" i="11"/>
  <c r="B2000" i="11"/>
  <c r="B1999" i="11"/>
  <c r="B1998" i="11"/>
  <c r="B1997" i="11"/>
  <c r="B1996" i="11"/>
  <c r="B1995" i="11"/>
  <c r="B1994" i="11"/>
  <c r="B1993" i="11"/>
  <c r="B1992" i="11"/>
  <c r="B1991" i="11"/>
  <c r="B1990" i="11"/>
  <c r="B1989" i="11"/>
  <c r="B1988" i="11"/>
  <c r="B1987" i="11"/>
  <c r="B1986" i="11"/>
  <c r="B1985" i="11"/>
  <c r="B1984" i="11"/>
  <c r="B1983" i="11"/>
  <c r="B1982" i="11"/>
  <c r="B1981" i="11"/>
  <c r="B1980" i="11"/>
  <c r="B1979" i="11"/>
  <c r="B1978" i="11"/>
  <c r="B1977" i="11"/>
  <c r="B1976" i="11"/>
  <c r="B1975" i="11"/>
  <c r="B1974" i="11"/>
  <c r="B1973" i="11"/>
  <c r="B1972" i="11"/>
  <c r="B1971" i="11"/>
  <c r="B1970" i="11"/>
  <c r="B1969" i="11"/>
  <c r="B1968" i="11"/>
  <c r="B1967" i="11"/>
  <c r="B1966" i="11"/>
  <c r="B1965" i="11"/>
  <c r="B1964" i="11"/>
  <c r="B1963" i="11"/>
  <c r="B1962" i="11"/>
  <c r="B1961" i="11"/>
  <c r="B1960" i="11"/>
  <c r="B1959" i="11"/>
  <c r="B1958" i="11"/>
  <c r="B1957" i="11"/>
  <c r="B1956" i="11"/>
  <c r="B1955" i="11"/>
  <c r="B1954" i="11"/>
  <c r="B1953" i="11"/>
  <c r="B1952" i="11"/>
  <c r="B1951" i="11"/>
  <c r="B1950" i="11"/>
  <c r="B1949" i="11"/>
  <c r="B1948" i="11"/>
  <c r="B1947" i="11"/>
  <c r="B1946" i="11"/>
  <c r="B1945" i="11"/>
  <c r="B1944" i="11"/>
  <c r="B1943" i="11"/>
  <c r="B1942" i="11"/>
  <c r="B1941" i="11"/>
  <c r="B1940" i="11"/>
  <c r="B1939" i="11"/>
  <c r="B1938" i="11"/>
  <c r="B1937" i="11"/>
  <c r="B1936" i="11"/>
  <c r="B1935" i="11"/>
  <c r="B1934" i="11"/>
  <c r="B1933" i="11"/>
  <c r="B1932" i="11"/>
  <c r="B1931" i="11"/>
  <c r="B1930" i="11"/>
  <c r="B1929" i="11"/>
  <c r="B1928" i="11"/>
  <c r="B1927" i="11"/>
  <c r="B1926" i="11"/>
  <c r="B1925" i="11"/>
  <c r="B1924" i="11"/>
  <c r="B1923" i="11"/>
  <c r="B1922" i="11"/>
  <c r="B1921" i="11"/>
  <c r="B1920" i="11"/>
  <c r="B1919" i="11"/>
  <c r="B1918" i="11"/>
  <c r="B1917" i="11"/>
  <c r="B1916" i="11"/>
  <c r="B1915" i="11"/>
  <c r="B1914" i="11"/>
  <c r="B1913" i="11"/>
  <c r="B1912" i="11"/>
  <c r="B1911" i="11"/>
  <c r="B1910" i="11"/>
  <c r="B1909" i="11"/>
  <c r="B1908" i="11"/>
  <c r="B1907" i="11"/>
  <c r="B1906" i="11"/>
  <c r="B1905" i="11"/>
  <c r="B1904" i="11"/>
  <c r="B1903" i="11"/>
  <c r="B1902" i="11"/>
  <c r="B1901" i="11"/>
  <c r="B1900" i="11"/>
  <c r="B1899" i="11"/>
  <c r="B1898" i="11"/>
  <c r="B1897" i="11"/>
  <c r="B1896" i="11"/>
  <c r="B1895" i="11"/>
  <c r="B1894" i="11"/>
  <c r="B1893" i="11"/>
  <c r="B1892" i="11"/>
  <c r="B1891" i="11"/>
  <c r="B1890" i="11"/>
  <c r="B1889" i="11"/>
  <c r="B1888" i="11"/>
  <c r="B1887" i="11"/>
  <c r="B1886" i="11"/>
  <c r="B1885" i="11"/>
  <c r="B1884" i="11"/>
  <c r="B1883" i="11"/>
  <c r="B1882" i="11"/>
  <c r="B1881" i="11"/>
  <c r="B1880" i="11"/>
  <c r="B1879" i="11"/>
  <c r="B1878" i="11"/>
  <c r="B1877" i="11"/>
  <c r="B1876" i="11"/>
  <c r="B1875" i="11"/>
  <c r="B1874" i="11"/>
  <c r="B1873" i="11"/>
  <c r="B1872" i="11"/>
  <c r="B1871" i="11"/>
  <c r="B1870" i="11"/>
  <c r="B1869" i="11"/>
  <c r="B1868" i="11"/>
  <c r="B1867" i="11"/>
  <c r="B1866" i="11"/>
  <c r="B1865" i="11"/>
  <c r="B1864" i="11"/>
  <c r="B1863" i="11"/>
  <c r="B1862" i="11"/>
  <c r="B1861" i="11"/>
  <c r="B1860" i="11"/>
  <c r="B1859" i="11"/>
  <c r="B1858" i="11"/>
  <c r="B1857" i="11"/>
  <c r="B1856" i="11"/>
  <c r="B1855" i="11"/>
  <c r="B1854" i="11"/>
  <c r="B1853" i="11"/>
  <c r="B1852" i="11"/>
  <c r="B1851" i="11"/>
  <c r="B1850" i="11"/>
  <c r="B1849" i="11"/>
  <c r="B1848" i="11"/>
  <c r="B1847" i="11"/>
  <c r="B1846" i="11"/>
  <c r="B1845" i="11"/>
  <c r="B1844" i="11"/>
  <c r="B1843" i="11"/>
  <c r="B1842" i="11"/>
  <c r="B1841" i="11"/>
  <c r="B1840" i="11"/>
  <c r="B1839" i="11"/>
  <c r="B1838" i="11"/>
  <c r="B1837" i="11"/>
  <c r="B1836" i="11"/>
  <c r="B1835" i="11"/>
  <c r="B1834" i="11"/>
  <c r="B1833" i="11"/>
  <c r="B1832" i="11"/>
  <c r="B1831" i="11"/>
  <c r="B1830" i="11"/>
  <c r="B1829" i="11"/>
  <c r="B1828" i="11"/>
  <c r="B1827" i="11"/>
  <c r="B1826" i="11"/>
  <c r="B1825" i="11"/>
  <c r="B1824" i="11"/>
  <c r="B1823" i="11"/>
  <c r="B1822" i="11"/>
  <c r="B1821" i="11"/>
  <c r="B1820" i="11"/>
  <c r="B1819" i="11"/>
  <c r="B1818" i="11"/>
  <c r="B1817" i="11"/>
  <c r="B1816" i="11"/>
  <c r="B1815" i="11"/>
  <c r="B1814" i="11"/>
  <c r="B1813" i="11"/>
  <c r="B1812" i="11"/>
  <c r="B1811" i="11"/>
  <c r="B1810" i="11"/>
  <c r="B1809" i="11"/>
  <c r="B1808" i="11"/>
  <c r="B1807" i="11"/>
  <c r="B1806" i="11"/>
  <c r="B1805" i="11"/>
  <c r="B1804" i="11"/>
  <c r="B1803" i="11"/>
  <c r="B1802" i="11"/>
  <c r="B1801" i="11"/>
  <c r="B1800" i="11"/>
  <c r="B1799" i="11"/>
  <c r="B1798" i="11"/>
  <c r="B1797" i="11"/>
  <c r="B1796" i="11"/>
  <c r="B1795" i="11"/>
  <c r="B1794" i="11"/>
  <c r="B1793" i="11"/>
  <c r="B1792" i="11"/>
  <c r="B1791" i="11"/>
  <c r="B1790" i="11"/>
  <c r="B1789" i="11"/>
  <c r="B1788" i="11"/>
  <c r="B1787" i="11"/>
  <c r="B1786" i="11"/>
  <c r="B1785" i="11"/>
  <c r="B1784" i="11"/>
  <c r="B1783" i="11"/>
  <c r="B1782" i="11"/>
  <c r="B1781" i="11"/>
  <c r="B1780" i="11"/>
  <c r="B1779" i="11"/>
  <c r="B1778" i="11"/>
  <c r="B1777" i="11"/>
  <c r="B1776" i="11"/>
  <c r="B1775" i="11"/>
  <c r="B1774" i="11"/>
  <c r="B1773" i="11"/>
  <c r="B1772" i="11"/>
  <c r="B1771" i="11"/>
  <c r="B1770" i="11"/>
  <c r="B1769" i="11"/>
  <c r="B1768" i="11"/>
  <c r="B1767" i="11"/>
  <c r="B1766" i="11"/>
  <c r="B1765" i="11"/>
  <c r="B1764" i="11"/>
  <c r="B1763" i="11"/>
  <c r="B1762" i="11"/>
  <c r="B1761" i="11"/>
  <c r="B1760" i="11"/>
  <c r="B1759" i="11"/>
  <c r="B1758" i="11"/>
  <c r="B1757" i="11"/>
  <c r="B1756" i="11"/>
  <c r="B1755" i="11"/>
  <c r="B1754" i="11"/>
  <c r="B1753" i="11"/>
  <c r="B1752" i="11"/>
  <c r="B1751" i="11"/>
  <c r="B1750" i="11"/>
  <c r="B1749" i="11"/>
  <c r="B1748" i="11"/>
  <c r="B1747" i="11"/>
  <c r="B1746" i="11"/>
  <c r="B1745" i="11"/>
  <c r="B1744" i="11"/>
  <c r="B1743" i="11"/>
  <c r="B1742" i="11"/>
  <c r="B1741" i="11"/>
  <c r="B1740" i="11"/>
  <c r="B1739" i="11"/>
  <c r="B1738" i="11"/>
  <c r="B1737" i="11"/>
  <c r="B1736" i="11"/>
  <c r="B1735" i="11"/>
  <c r="B1734" i="11"/>
  <c r="B1733" i="11"/>
  <c r="B1732" i="11"/>
  <c r="B1731" i="11"/>
  <c r="B1730" i="11"/>
  <c r="B1729" i="11"/>
  <c r="B1728" i="11"/>
  <c r="B1727" i="11"/>
  <c r="B1726" i="11"/>
  <c r="B1725" i="11"/>
  <c r="B1724" i="11"/>
  <c r="B1723" i="11"/>
  <c r="B1722" i="11"/>
  <c r="B1721" i="11"/>
  <c r="B1720" i="11"/>
  <c r="B1719" i="11"/>
  <c r="B1718" i="11"/>
  <c r="B1717" i="11"/>
  <c r="B1716" i="11"/>
  <c r="B1715" i="11"/>
  <c r="B1714" i="11"/>
  <c r="B1713" i="11"/>
  <c r="B1712" i="11"/>
  <c r="B1711" i="11"/>
  <c r="B1710" i="11"/>
  <c r="B1709" i="11"/>
  <c r="B1708" i="11"/>
  <c r="B1707" i="11"/>
  <c r="B1706" i="11"/>
  <c r="B1705" i="11"/>
  <c r="B1704" i="11"/>
  <c r="B1703" i="11"/>
  <c r="B1702" i="11"/>
  <c r="B1701" i="11"/>
  <c r="B1700" i="11"/>
  <c r="B1699" i="11"/>
  <c r="B1698" i="11"/>
  <c r="B1697" i="11"/>
  <c r="B1696" i="11"/>
  <c r="B1695" i="11"/>
  <c r="B1694" i="11"/>
  <c r="B1693" i="11"/>
  <c r="B1692" i="11"/>
  <c r="B1691" i="11"/>
  <c r="B1690" i="11"/>
  <c r="B1689" i="11"/>
  <c r="B1688" i="11"/>
  <c r="B1687" i="11"/>
  <c r="B1686" i="11"/>
  <c r="B1685" i="11"/>
  <c r="B1684" i="11"/>
  <c r="B1683" i="11"/>
  <c r="B1682" i="11"/>
  <c r="B1681" i="11"/>
  <c r="B1680" i="11"/>
  <c r="B1679" i="11"/>
  <c r="B1678" i="11"/>
  <c r="B1677" i="11"/>
  <c r="B1676" i="11"/>
  <c r="B1675" i="11"/>
  <c r="B1674" i="11"/>
  <c r="B1673" i="11"/>
  <c r="B1672" i="11"/>
  <c r="B1671" i="11"/>
  <c r="B1670" i="11"/>
  <c r="B1669" i="11"/>
  <c r="B1668" i="11"/>
  <c r="B1667" i="11"/>
  <c r="B1666" i="11"/>
  <c r="B1665" i="11"/>
  <c r="B1664" i="11"/>
  <c r="B1663" i="11"/>
  <c r="B1662" i="11"/>
  <c r="B1661" i="11"/>
  <c r="B1660" i="11"/>
  <c r="B1659" i="11"/>
  <c r="B1658" i="11"/>
  <c r="B1657" i="11"/>
  <c r="B1656" i="11"/>
  <c r="B1655" i="11"/>
  <c r="B1654" i="11"/>
  <c r="B1653" i="11"/>
  <c r="B1652" i="11"/>
  <c r="B1651" i="11"/>
  <c r="B1650" i="11"/>
  <c r="B1649" i="11"/>
  <c r="B1648" i="11"/>
  <c r="B1647" i="11"/>
  <c r="B1646" i="11"/>
  <c r="B1645" i="11"/>
  <c r="B1644" i="11"/>
  <c r="B1643" i="11"/>
  <c r="B1642" i="11"/>
  <c r="B1641" i="11"/>
  <c r="B1640" i="11"/>
  <c r="B1639" i="11"/>
  <c r="B1638" i="11"/>
  <c r="B1637" i="11"/>
  <c r="B1636" i="11"/>
  <c r="B1635" i="11"/>
  <c r="B1634" i="11"/>
  <c r="B1633" i="11"/>
  <c r="B1632" i="11"/>
  <c r="B1631" i="11"/>
  <c r="B1630" i="11"/>
  <c r="B1629" i="11"/>
  <c r="B1628" i="11"/>
  <c r="B1627" i="11"/>
  <c r="B1626" i="11"/>
  <c r="B1625" i="11"/>
  <c r="B1624" i="11"/>
  <c r="B1623" i="11"/>
  <c r="B1622" i="11"/>
  <c r="B1621" i="11"/>
  <c r="B1620" i="11"/>
  <c r="B1619" i="11"/>
  <c r="B1618" i="11"/>
  <c r="B1617" i="11"/>
  <c r="B1616" i="11"/>
  <c r="B1615" i="11"/>
  <c r="B1614" i="11"/>
  <c r="B1613" i="11"/>
  <c r="B1612" i="11"/>
  <c r="B1611" i="11"/>
  <c r="B1610" i="11"/>
  <c r="B1609" i="11"/>
  <c r="B1608" i="11"/>
  <c r="B1607" i="11"/>
  <c r="B1606" i="11"/>
  <c r="B1605" i="11"/>
  <c r="B1604" i="11"/>
  <c r="B1603" i="11"/>
  <c r="B1602" i="11"/>
  <c r="B1601" i="11"/>
  <c r="B1600" i="11"/>
  <c r="B1599" i="11"/>
  <c r="B1598" i="11"/>
  <c r="B1597" i="11"/>
  <c r="B1596" i="11"/>
  <c r="B1595" i="11"/>
  <c r="B1594" i="11"/>
  <c r="B1593" i="11"/>
  <c r="B1592" i="11"/>
  <c r="B1591" i="11"/>
  <c r="B1590" i="11"/>
  <c r="B1589" i="11"/>
  <c r="B1588" i="11"/>
  <c r="B1587" i="11"/>
  <c r="B1586" i="11"/>
  <c r="B1585" i="11"/>
  <c r="B1584" i="11"/>
  <c r="B1583" i="11"/>
  <c r="B1582" i="11"/>
  <c r="B1581" i="11"/>
  <c r="B1580" i="11"/>
  <c r="B1579" i="11"/>
  <c r="B1578" i="11"/>
  <c r="B1577" i="11"/>
  <c r="B1576" i="11"/>
  <c r="B1575" i="11"/>
  <c r="B1574" i="11"/>
  <c r="B1573" i="11"/>
  <c r="B1572" i="11"/>
  <c r="B1571" i="11"/>
  <c r="B1570" i="11"/>
  <c r="B1569" i="11"/>
  <c r="B1568" i="11"/>
  <c r="B1567" i="11"/>
  <c r="B1566" i="11"/>
  <c r="B1565" i="11"/>
  <c r="B1564" i="11"/>
  <c r="B1563" i="11"/>
  <c r="B1562" i="11"/>
  <c r="B1561" i="11"/>
  <c r="B1560" i="11"/>
  <c r="B1559" i="11"/>
  <c r="B1558" i="11"/>
  <c r="B1557" i="11"/>
  <c r="B1556" i="11"/>
  <c r="B1555" i="11"/>
  <c r="B1554" i="11"/>
  <c r="B1553" i="11"/>
  <c r="B1552" i="11"/>
  <c r="B1551" i="11"/>
  <c r="B1550" i="11"/>
  <c r="B1549" i="11"/>
  <c r="B1548" i="11"/>
  <c r="B1547" i="11"/>
  <c r="B1546" i="11"/>
  <c r="B1545" i="11"/>
  <c r="B1544" i="11"/>
  <c r="B1543" i="11"/>
  <c r="B1542" i="11"/>
  <c r="B1541" i="11"/>
  <c r="B1540" i="11"/>
  <c r="B1539" i="11"/>
  <c r="B1538" i="11"/>
  <c r="B1537" i="11"/>
  <c r="B1536" i="11"/>
  <c r="B1535" i="11"/>
  <c r="B1534" i="11"/>
  <c r="B1533" i="11"/>
  <c r="B1532" i="11"/>
  <c r="B1531" i="11"/>
  <c r="B1530" i="11"/>
  <c r="B1529" i="11"/>
  <c r="B1528" i="11"/>
  <c r="B1527" i="11"/>
  <c r="B1526" i="11"/>
  <c r="B1525" i="11"/>
  <c r="B1524" i="11"/>
  <c r="B1523" i="11"/>
  <c r="B1522" i="11"/>
  <c r="B1521" i="11"/>
  <c r="B1520" i="11"/>
  <c r="B1519" i="11"/>
  <c r="B1518" i="11"/>
  <c r="B1517" i="11"/>
  <c r="B1516" i="11"/>
  <c r="B1515" i="11"/>
  <c r="B1514" i="11"/>
  <c r="B1513" i="11"/>
  <c r="B1512" i="11"/>
  <c r="B1511" i="11"/>
  <c r="B1510" i="11"/>
  <c r="B1509" i="11"/>
  <c r="B1508" i="11"/>
  <c r="B1507" i="11"/>
  <c r="B1506" i="11"/>
  <c r="B1505" i="11"/>
  <c r="B1504" i="11"/>
  <c r="B1503" i="11"/>
  <c r="B1502" i="11"/>
  <c r="B1501" i="11"/>
  <c r="B1500" i="11"/>
  <c r="B1499" i="11"/>
  <c r="B1498" i="11"/>
  <c r="B1497" i="11"/>
  <c r="B1496" i="11"/>
  <c r="B1495" i="11"/>
  <c r="B1494" i="11"/>
  <c r="B1493" i="11"/>
  <c r="B1492" i="11"/>
  <c r="B1491" i="11"/>
  <c r="B1490" i="11"/>
  <c r="B1489" i="11"/>
  <c r="B1488" i="11"/>
  <c r="B1487" i="11"/>
  <c r="B1486" i="11"/>
  <c r="B1485" i="11"/>
  <c r="B1484" i="11"/>
  <c r="B1483" i="11"/>
  <c r="B1482" i="11"/>
  <c r="B1481" i="11"/>
  <c r="B1480" i="11"/>
  <c r="B1479" i="11"/>
  <c r="B1478" i="11"/>
  <c r="B1477" i="11"/>
  <c r="B1476" i="11"/>
  <c r="B1475" i="11"/>
  <c r="B1474" i="11"/>
  <c r="B1473" i="11"/>
  <c r="B1472" i="11"/>
  <c r="B1471" i="11"/>
  <c r="B1470" i="11"/>
  <c r="B1469" i="11"/>
  <c r="B1468" i="11"/>
  <c r="B1467" i="11"/>
  <c r="B1466" i="11"/>
  <c r="B1465" i="11"/>
  <c r="B1464" i="11"/>
  <c r="B1463" i="11"/>
  <c r="B1462" i="11"/>
  <c r="B1461" i="11"/>
  <c r="B1460" i="11"/>
  <c r="B1459" i="11"/>
  <c r="B1458" i="11"/>
  <c r="B1457" i="11"/>
  <c r="B1456" i="11"/>
  <c r="B1455" i="11"/>
  <c r="B1454" i="11"/>
  <c r="B1453" i="11"/>
  <c r="B1452" i="11"/>
  <c r="B1451" i="11"/>
  <c r="B1450" i="11"/>
  <c r="B1449" i="11"/>
  <c r="B1448" i="11"/>
  <c r="B1447" i="11"/>
  <c r="B1446" i="11"/>
  <c r="B1445" i="11"/>
  <c r="B1444" i="11"/>
  <c r="B1443" i="11"/>
  <c r="B1442" i="11"/>
  <c r="B1441" i="11"/>
  <c r="B1440" i="11"/>
  <c r="B1439" i="11"/>
  <c r="B1438" i="11"/>
  <c r="B1437" i="11"/>
  <c r="B1436" i="11"/>
  <c r="B1435" i="11"/>
  <c r="B1434" i="11"/>
  <c r="B1433" i="11"/>
  <c r="B1432" i="11"/>
  <c r="B1431" i="11"/>
  <c r="B1430" i="11"/>
  <c r="B1429" i="11"/>
  <c r="B1428" i="11"/>
  <c r="B1427" i="11"/>
  <c r="B1426" i="11"/>
  <c r="B1425" i="11"/>
  <c r="B1424" i="11"/>
  <c r="B1423" i="11"/>
  <c r="B1422" i="11"/>
  <c r="B1421" i="11"/>
  <c r="B1420" i="11"/>
  <c r="B1419" i="11"/>
  <c r="B1418" i="11"/>
  <c r="B1417" i="11"/>
  <c r="B1416" i="11"/>
  <c r="B1415" i="11"/>
  <c r="B1414" i="11"/>
  <c r="B1413" i="11"/>
  <c r="B1412" i="11"/>
  <c r="B1411" i="11"/>
  <c r="B1410" i="11"/>
  <c r="B1409" i="11"/>
  <c r="B1408" i="11"/>
  <c r="B1407" i="11"/>
  <c r="B1406" i="11"/>
  <c r="B1405" i="11"/>
  <c r="B1404" i="11"/>
  <c r="B1403" i="11"/>
  <c r="B1402" i="11"/>
  <c r="B1401" i="11"/>
  <c r="B1400" i="11"/>
  <c r="B1399" i="11"/>
  <c r="B1398" i="11"/>
  <c r="B1397" i="11"/>
  <c r="B1396" i="11"/>
  <c r="B1395" i="11"/>
  <c r="B1394" i="11"/>
  <c r="B1393" i="11"/>
  <c r="B1392" i="11"/>
  <c r="B1391" i="11"/>
  <c r="B1390" i="11"/>
  <c r="B1389" i="11"/>
  <c r="B1388" i="11"/>
  <c r="B1387" i="11"/>
  <c r="B1386" i="11"/>
  <c r="B1385" i="11"/>
  <c r="B1384" i="11"/>
  <c r="B1383" i="11"/>
  <c r="B1382" i="11"/>
  <c r="B1381" i="11"/>
  <c r="B1380" i="11"/>
  <c r="B1379" i="11"/>
  <c r="B1378" i="11"/>
  <c r="B1377" i="11"/>
  <c r="B1376" i="11"/>
  <c r="B1375" i="11"/>
  <c r="B1374" i="11"/>
  <c r="B1373" i="11"/>
  <c r="B1372" i="11"/>
  <c r="B1371" i="11"/>
  <c r="B1370" i="11"/>
  <c r="B1369" i="11"/>
  <c r="B1368" i="11"/>
  <c r="B1367" i="11"/>
  <c r="B1366" i="11"/>
  <c r="B1365" i="11"/>
  <c r="B1364" i="11"/>
  <c r="B1363" i="11"/>
  <c r="B1362" i="11"/>
  <c r="B1361" i="11"/>
  <c r="B1360" i="11"/>
  <c r="B1359" i="11"/>
  <c r="B1358" i="11"/>
  <c r="B1357" i="11"/>
  <c r="B1356" i="11"/>
  <c r="B1355" i="11"/>
  <c r="B1354" i="11"/>
  <c r="B1353" i="11"/>
  <c r="B1352" i="11"/>
  <c r="B1351" i="11"/>
  <c r="B1350" i="11"/>
  <c r="B1349" i="11"/>
  <c r="B1348" i="11"/>
  <c r="B1347" i="11"/>
  <c r="B1346" i="11"/>
  <c r="B1345" i="11"/>
  <c r="B1344" i="11"/>
  <c r="B1343" i="11"/>
  <c r="B1342" i="11"/>
  <c r="B1341" i="11"/>
  <c r="B1340" i="11"/>
  <c r="B1339" i="11"/>
  <c r="B1338" i="11"/>
  <c r="B1337" i="11"/>
  <c r="B1336" i="11"/>
  <c r="B1335" i="11"/>
  <c r="B1334" i="11"/>
  <c r="B1333" i="11"/>
  <c r="B1332" i="11"/>
  <c r="B1331" i="11"/>
  <c r="B1330" i="11"/>
  <c r="B1329" i="11"/>
  <c r="B1328" i="11"/>
  <c r="B1327" i="11"/>
  <c r="B1326" i="11"/>
  <c r="B1325" i="11"/>
  <c r="B1324" i="11"/>
  <c r="B1323" i="11"/>
  <c r="B1322" i="11"/>
  <c r="B1321" i="11"/>
  <c r="B1320" i="11"/>
  <c r="B1319" i="11"/>
  <c r="B1318" i="11"/>
  <c r="B1317" i="11"/>
  <c r="B1316" i="11"/>
  <c r="B1315" i="11"/>
  <c r="B1314" i="11"/>
  <c r="B1313" i="11"/>
  <c r="B1312" i="11"/>
  <c r="B1311" i="11"/>
  <c r="B1310" i="11"/>
  <c r="B1309" i="11"/>
  <c r="B1308" i="11"/>
  <c r="B1307" i="11"/>
  <c r="B1306" i="11"/>
  <c r="B1305" i="11"/>
  <c r="B1304" i="11"/>
  <c r="B1303" i="11"/>
  <c r="B1302" i="11"/>
  <c r="B1301" i="11"/>
  <c r="B1300" i="11"/>
  <c r="B1299" i="11"/>
  <c r="B1298" i="11"/>
  <c r="B1297" i="11"/>
  <c r="B1296" i="11"/>
  <c r="B1295" i="11"/>
  <c r="B1294" i="11"/>
  <c r="B1293" i="11"/>
  <c r="B1292" i="11"/>
  <c r="B1291" i="11"/>
  <c r="B1290" i="11"/>
  <c r="B1289" i="11"/>
  <c r="B1288" i="11"/>
  <c r="B1287" i="11"/>
  <c r="B1286" i="11"/>
  <c r="B1285" i="11"/>
  <c r="B1284" i="11"/>
  <c r="B1283" i="11"/>
  <c r="B1282" i="11"/>
  <c r="B1281" i="11"/>
  <c r="B1280" i="11"/>
  <c r="B1279" i="11"/>
  <c r="B1278" i="11"/>
  <c r="B1277" i="11"/>
  <c r="B1276" i="11"/>
  <c r="B1275" i="11"/>
  <c r="B1274" i="11"/>
  <c r="B1273" i="11"/>
  <c r="B1272" i="11"/>
  <c r="B1271" i="11"/>
  <c r="B1270" i="11"/>
  <c r="B1269" i="11"/>
  <c r="B1268" i="11"/>
  <c r="B1267" i="11"/>
  <c r="B1266" i="11"/>
  <c r="B1265" i="11"/>
  <c r="B1264" i="11"/>
  <c r="B1263" i="11"/>
  <c r="B1262" i="11"/>
  <c r="B1261" i="11"/>
  <c r="B1260" i="11"/>
  <c r="B1259" i="11"/>
  <c r="B1258" i="11"/>
  <c r="B1257" i="11"/>
  <c r="B1256" i="11"/>
  <c r="B1255" i="11"/>
  <c r="B1254" i="11"/>
  <c r="B1253" i="11"/>
  <c r="B1252" i="11"/>
  <c r="B1251" i="11"/>
  <c r="B1250" i="11"/>
  <c r="B1249" i="11"/>
  <c r="B1248" i="11"/>
  <c r="B1247" i="11"/>
  <c r="B1246" i="11"/>
  <c r="B1245" i="11"/>
  <c r="B1244" i="11"/>
  <c r="B1243" i="11"/>
  <c r="B1242" i="11"/>
  <c r="B1241" i="11"/>
  <c r="B1240" i="11"/>
  <c r="B1239" i="11"/>
  <c r="B1238" i="11"/>
  <c r="B1237" i="11"/>
  <c r="B1236" i="11"/>
  <c r="B1235" i="11"/>
  <c r="B1234" i="11"/>
  <c r="B1233" i="11"/>
  <c r="B1232" i="11"/>
  <c r="B1231" i="11"/>
  <c r="B1230" i="11"/>
  <c r="B1229" i="11"/>
  <c r="B1228" i="11"/>
  <c r="B1227" i="11"/>
  <c r="B1226" i="11"/>
  <c r="B1225" i="11"/>
  <c r="B1224" i="11"/>
  <c r="B1223" i="11"/>
  <c r="B1222" i="11"/>
  <c r="B1221" i="11"/>
  <c r="B1220" i="11"/>
  <c r="B1219" i="11"/>
  <c r="B1218" i="11"/>
  <c r="B1217" i="11"/>
  <c r="B1216" i="11"/>
  <c r="B1215" i="11"/>
  <c r="B1214" i="11"/>
  <c r="B1213" i="11"/>
  <c r="B1212" i="11"/>
  <c r="B1211" i="11"/>
  <c r="B1210" i="11"/>
  <c r="B1209" i="11"/>
  <c r="B1208" i="11"/>
  <c r="B1207" i="11"/>
  <c r="B1206" i="11"/>
  <c r="B1205" i="11"/>
  <c r="B1204" i="11"/>
  <c r="B1203" i="11"/>
  <c r="B1202" i="11"/>
  <c r="B1201" i="11"/>
  <c r="B1200" i="11"/>
  <c r="B1199" i="11"/>
  <c r="B1198" i="11"/>
  <c r="B1197" i="11"/>
  <c r="B1196" i="11"/>
  <c r="B1195" i="11"/>
  <c r="B1194" i="11"/>
  <c r="B1193" i="11"/>
  <c r="B1192" i="11"/>
  <c r="B1191" i="11"/>
  <c r="B1190" i="11"/>
  <c r="B1189" i="11"/>
  <c r="B1188" i="11"/>
  <c r="B1187" i="11"/>
  <c r="B1186" i="11"/>
  <c r="B1185" i="11"/>
  <c r="B1184" i="11"/>
  <c r="B1183" i="11"/>
  <c r="B1182" i="11"/>
  <c r="B1181" i="11"/>
  <c r="B1180" i="11"/>
  <c r="B1179" i="11"/>
  <c r="B1178" i="11"/>
  <c r="B1177" i="11"/>
  <c r="B1176" i="11"/>
  <c r="B1175" i="11"/>
  <c r="B1174" i="11"/>
  <c r="B1173" i="11"/>
  <c r="B1172" i="11"/>
  <c r="B1171" i="11"/>
  <c r="B1170" i="11"/>
  <c r="B1169" i="11"/>
  <c r="B1168" i="11"/>
  <c r="B1167" i="11"/>
  <c r="B1166" i="11"/>
  <c r="B1165" i="11"/>
  <c r="B1164" i="11"/>
  <c r="B1163" i="11"/>
  <c r="B1162" i="11"/>
  <c r="B1161" i="11"/>
  <c r="B1160" i="11"/>
  <c r="B1159" i="11"/>
  <c r="B1158" i="11"/>
  <c r="B1157" i="11"/>
  <c r="B1156" i="11"/>
  <c r="B1155" i="11"/>
  <c r="B1154" i="11"/>
  <c r="B1153" i="11"/>
  <c r="B1152" i="11"/>
  <c r="B1151" i="11"/>
  <c r="B1150" i="11"/>
  <c r="B1149" i="11"/>
  <c r="B1148" i="11"/>
  <c r="B1147" i="11"/>
  <c r="B1146" i="11"/>
  <c r="B1145" i="11"/>
  <c r="B1144" i="11"/>
  <c r="B1143" i="11"/>
  <c r="B1142" i="11"/>
  <c r="B1141" i="11"/>
  <c r="B1140" i="11"/>
  <c r="B1139" i="11"/>
  <c r="B1138" i="11"/>
  <c r="B1137" i="11"/>
  <c r="B1136" i="11"/>
  <c r="B1135" i="11"/>
  <c r="B1134" i="11"/>
  <c r="B1133" i="11"/>
  <c r="B1132" i="11"/>
  <c r="B1131" i="11"/>
  <c r="B1130" i="11"/>
  <c r="B1129" i="11"/>
  <c r="B1128" i="11"/>
  <c r="B1127" i="11"/>
  <c r="B1126" i="11"/>
  <c r="B1125" i="11"/>
  <c r="B1124" i="11"/>
  <c r="B1123" i="11"/>
  <c r="B1122" i="11"/>
  <c r="B1121" i="11"/>
  <c r="B1120" i="11"/>
  <c r="B1119" i="11"/>
  <c r="B1118" i="11"/>
  <c r="B1117" i="11"/>
  <c r="B1116" i="11"/>
  <c r="B1115" i="11"/>
  <c r="B1114" i="11"/>
  <c r="B1113" i="11"/>
  <c r="B1112" i="11"/>
  <c r="B1111" i="11"/>
  <c r="B1110" i="11"/>
  <c r="B1109" i="11"/>
  <c r="B1108" i="11"/>
  <c r="B1107" i="11"/>
  <c r="B1106" i="11"/>
  <c r="B1105" i="11"/>
  <c r="B1104" i="11"/>
  <c r="B1103" i="11"/>
  <c r="B1102" i="11"/>
  <c r="B1101" i="11"/>
  <c r="B1100" i="11"/>
  <c r="B1099" i="11"/>
  <c r="B1098" i="11"/>
  <c r="B1097" i="11"/>
  <c r="B1096" i="11"/>
  <c r="B1095" i="11"/>
  <c r="B1094" i="11"/>
  <c r="B1093" i="11"/>
  <c r="B1092" i="11"/>
  <c r="B1091" i="11"/>
  <c r="B1090" i="11"/>
  <c r="B1089" i="11"/>
  <c r="B1088" i="11"/>
  <c r="B1087" i="11"/>
  <c r="B1086" i="11"/>
  <c r="B1085" i="11"/>
  <c r="B1084" i="11"/>
  <c r="B1083" i="11"/>
  <c r="B1082" i="11"/>
  <c r="B1081" i="11"/>
  <c r="B1080" i="11"/>
  <c r="B1079" i="11"/>
  <c r="B1078" i="11"/>
  <c r="B1077" i="11"/>
  <c r="B1076" i="11"/>
  <c r="B1075" i="11"/>
  <c r="B1074" i="11"/>
  <c r="B1073" i="11"/>
  <c r="B1072" i="11"/>
  <c r="B1071" i="11"/>
  <c r="B1070" i="11"/>
  <c r="B1069" i="11"/>
  <c r="B1068" i="11"/>
  <c r="B1067" i="11"/>
  <c r="B1066" i="11"/>
  <c r="B1065" i="11"/>
  <c r="B1064" i="11"/>
  <c r="B1063" i="11"/>
  <c r="B1062" i="11"/>
  <c r="B1061" i="11"/>
  <c r="B1060" i="11"/>
  <c r="B1059" i="11"/>
  <c r="B1058" i="11"/>
  <c r="B1057" i="11"/>
  <c r="B1056" i="11"/>
  <c r="B1055" i="11"/>
  <c r="B1054" i="11"/>
  <c r="B1053" i="11"/>
  <c r="B1052" i="11"/>
  <c r="B1051" i="11"/>
  <c r="B1050" i="11"/>
  <c r="B1049" i="11"/>
  <c r="B1048" i="11"/>
  <c r="B1047" i="11"/>
  <c r="B1046" i="11"/>
  <c r="B1045" i="11"/>
  <c r="B1044" i="11"/>
  <c r="B1043" i="11"/>
  <c r="B1042" i="11"/>
  <c r="B1041" i="11"/>
  <c r="B1040" i="11"/>
  <c r="B1039" i="11"/>
  <c r="B1038" i="11"/>
  <c r="B1037" i="11"/>
  <c r="B1036" i="11"/>
  <c r="B1035" i="11"/>
  <c r="B1034" i="11"/>
  <c r="B1033" i="11"/>
  <c r="B1032" i="11"/>
  <c r="B1031" i="11"/>
  <c r="B1030" i="11"/>
  <c r="B1029" i="11"/>
  <c r="B1028" i="11"/>
  <c r="B1027" i="11"/>
  <c r="B1026" i="11"/>
  <c r="B1025" i="11"/>
  <c r="B1024" i="11"/>
  <c r="B1023" i="11"/>
  <c r="B1022" i="11"/>
  <c r="B1021" i="11"/>
  <c r="B1020" i="11"/>
  <c r="B1019" i="11"/>
  <c r="B1018" i="11"/>
  <c r="B1017" i="11"/>
  <c r="B1016" i="11"/>
  <c r="B1015" i="11"/>
  <c r="B1014" i="11"/>
  <c r="B1013" i="11"/>
  <c r="B1012" i="11"/>
  <c r="B1011" i="11"/>
  <c r="B1010" i="11"/>
  <c r="B1009" i="11"/>
  <c r="B1008" i="11"/>
  <c r="B1007" i="11"/>
  <c r="B1006" i="11"/>
  <c r="B1005" i="11"/>
  <c r="B1004" i="11"/>
  <c r="B1003" i="11"/>
  <c r="B1002" i="11"/>
  <c r="B1001" i="11"/>
  <c r="B1000" i="11"/>
  <c r="B999" i="11"/>
  <c r="B998" i="11"/>
  <c r="B997" i="11"/>
  <c r="B996" i="11"/>
  <c r="B995" i="11"/>
  <c r="B994" i="11"/>
  <c r="B993" i="11"/>
  <c r="B992" i="11"/>
  <c r="B991" i="11"/>
  <c r="B990" i="11"/>
  <c r="B989" i="11"/>
  <c r="B988" i="11"/>
  <c r="B987" i="11"/>
  <c r="B986" i="11"/>
  <c r="B985" i="11"/>
  <c r="B984" i="11"/>
  <c r="B983" i="11"/>
  <c r="B982" i="11"/>
  <c r="B981" i="11"/>
  <c r="B980" i="11"/>
  <c r="B979" i="11"/>
  <c r="B978" i="11"/>
  <c r="B977" i="11"/>
  <c r="B976" i="11"/>
  <c r="B975" i="11"/>
  <c r="B974" i="11"/>
  <c r="B973" i="11"/>
  <c r="B972" i="11"/>
  <c r="B971" i="11"/>
  <c r="B970" i="11"/>
  <c r="B969" i="11"/>
  <c r="B968" i="11"/>
  <c r="B967" i="11"/>
  <c r="B966" i="11"/>
  <c r="B965" i="11"/>
  <c r="B964" i="11"/>
  <c r="B963" i="11"/>
  <c r="B962" i="11"/>
  <c r="B961" i="11"/>
  <c r="B960" i="11"/>
  <c r="B959" i="11"/>
  <c r="B958" i="11"/>
  <c r="B957" i="11"/>
  <c r="B956" i="11"/>
  <c r="B955" i="11"/>
  <c r="B954" i="11"/>
  <c r="B953" i="11"/>
  <c r="B952" i="11"/>
  <c r="B951" i="11"/>
  <c r="B950" i="11"/>
  <c r="B949" i="11"/>
  <c r="B948" i="11"/>
  <c r="B947" i="11"/>
  <c r="B946" i="11"/>
  <c r="B945" i="11"/>
  <c r="B944" i="11"/>
  <c r="B943" i="11"/>
  <c r="B942" i="11"/>
  <c r="B941" i="11"/>
  <c r="B940" i="11"/>
  <c r="B939" i="11"/>
  <c r="B938" i="11"/>
  <c r="B937" i="11"/>
  <c r="B936" i="11"/>
  <c r="B935" i="11"/>
  <c r="B934" i="11"/>
  <c r="B933" i="11"/>
  <c r="B932" i="11"/>
  <c r="B931" i="11"/>
  <c r="B930" i="11"/>
  <c r="B929" i="11"/>
  <c r="B928" i="11"/>
  <c r="B927" i="11"/>
  <c r="B926" i="11"/>
  <c r="B925" i="11"/>
  <c r="B924" i="11"/>
  <c r="B923" i="11"/>
  <c r="B922" i="11"/>
  <c r="B921" i="11"/>
  <c r="B920" i="11"/>
  <c r="B919" i="11"/>
  <c r="B918" i="11"/>
  <c r="B917" i="11"/>
  <c r="B916" i="11"/>
  <c r="B915" i="11"/>
  <c r="B914" i="11"/>
  <c r="B913" i="11"/>
  <c r="B912" i="11"/>
  <c r="B911" i="11"/>
  <c r="B910" i="11"/>
  <c r="B909" i="11"/>
  <c r="B908" i="11"/>
  <c r="B907" i="11"/>
  <c r="B906" i="11"/>
  <c r="B905" i="11"/>
  <c r="B904" i="11"/>
  <c r="B903" i="11"/>
  <c r="B902" i="11"/>
  <c r="B901" i="11"/>
  <c r="B900" i="11"/>
  <c r="B899" i="11"/>
  <c r="B898" i="11"/>
  <c r="B897" i="11"/>
  <c r="B896" i="11"/>
  <c r="B895" i="11"/>
  <c r="B894" i="11"/>
  <c r="B893" i="11"/>
  <c r="B892" i="11"/>
  <c r="B891" i="11"/>
  <c r="B890" i="11"/>
  <c r="B889" i="11"/>
  <c r="B888" i="11"/>
  <c r="B887" i="11"/>
  <c r="B886" i="11"/>
  <c r="B885" i="11"/>
  <c r="B884" i="11"/>
  <c r="B883" i="11"/>
  <c r="B882" i="11"/>
  <c r="B881" i="11"/>
  <c r="B880" i="11"/>
  <c r="B879" i="11"/>
  <c r="B878" i="11"/>
  <c r="B877" i="11"/>
  <c r="B876" i="11"/>
  <c r="B875" i="11"/>
  <c r="B874" i="11"/>
  <c r="B873" i="11"/>
  <c r="B872" i="11"/>
  <c r="B871" i="11"/>
  <c r="B870" i="11"/>
  <c r="B869" i="11"/>
  <c r="B868" i="11"/>
  <c r="B867" i="11"/>
  <c r="B866" i="11"/>
  <c r="B865" i="11"/>
  <c r="B864" i="11"/>
  <c r="B863" i="11"/>
  <c r="B862" i="11"/>
  <c r="B861" i="11"/>
  <c r="B860" i="11"/>
  <c r="B859" i="11"/>
  <c r="B858" i="11"/>
  <c r="B857" i="11"/>
  <c r="B856" i="11"/>
  <c r="B855" i="11"/>
  <c r="B854" i="11"/>
  <c r="B853" i="11"/>
  <c r="B852" i="11"/>
  <c r="B851" i="11"/>
  <c r="B850" i="11"/>
  <c r="B849" i="11"/>
  <c r="B848" i="11"/>
  <c r="B847" i="11"/>
  <c r="B846" i="11"/>
  <c r="B845" i="11"/>
  <c r="B844" i="11"/>
  <c r="B843" i="11"/>
  <c r="B842" i="11"/>
  <c r="B841" i="11"/>
  <c r="B840" i="11"/>
  <c r="B839" i="11"/>
  <c r="B838" i="11"/>
  <c r="B837" i="11"/>
  <c r="B836" i="11"/>
  <c r="B835" i="11"/>
  <c r="B834" i="11"/>
  <c r="B833" i="11"/>
  <c r="B832" i="11"/>
  <c r="B831" i="11"/>
  <c r="B830" i="11"/>
  <c r="B829" i="11"/>
  <c r="B828" i="11"/>
  <c r="B827" i="11"/>
  <c r="B826" i="11"/>
  <c r="B825" i="11"/>
  <c r="B824" i="11"/>
  <c r="B823" i="11"/>
  <c r="B822" i="11"/>
  <c r="B821" i="11"/>
  <c r="B820" i="11"/>
  <c r="B819" i="11"/>
  <c r="B818" i="11"/>
  <c r="B817" i="11"/>
  <c r="B816" i="11"/>
  <c r="B815" i="11"/>
  <c r="B814" i="11"/>
  <c r="B813" i="11"/>
  <c r="B812" i="11"/>
  <c r="B811" i="11"/>
  <c r="B810" i="11"/>
  <c r="B809" i="11"/>
  <c r="B808" i="11"/>
  <c r="B807" i="11"/>
  <c r="B806" i="11"/>
  <c r="B805" i="11"/>
  <c r="B804" i="11"/>
  <c r="B803" i="11"/>
  <c r="B802" i="11"/>
  <c r="B801" i="11"/>
  <c r="B800" i="11"/>
  <c r="B799" i="11"/>
  <c r="B798" i="11"/>
  <c r="B797" i="11"/>
  <c r="B796" i="11"/>
  <c r="B795" i="11"/>
  <c r="B794" i="11"/>
  <c r="B793" i="11"/>
  <c r="B792" i="11"/>
  <c r="B791" i="11"/>
  <c r="B790" i="11"/>
  <c r="B789" i="11"/>
  <c r="B788" i="11"/>
  <c r="B787" i="11"/>
  <c r="B786" i="11"/>
  <c r="B785" i="11"/>
  <c r="B784" i="11"/>
  <c r="B783" i="11"/>
  <c r="B782" i="11"/>
  <c r="B781" i="11"/>
  <c r="B780" i="11"/>
  <c r="B779" i="11"/>
  <c r="B778" i="11"/>
  <c r="B777" i="11"/>
  <c r="B776" i="11"/>
  <c r="B775" i="11"/>
  <c r="B774" i="11"/>
  <c r="B773" i="11"/>
  <c r="B772" i="11"/>
  <c r="B771" i="11"/>
  <c r="B770" i="11"/>
  <c r="B769" i="11"/>
  <c r="B768" i="11"/>
  <c r="B767" i="11"/>
  <c r="B766" i="11"/>
  <c r="B765" i="11"/>
  <c r="B764" i="11"/>
  <c r="B763" i="11"/>
  <c r="B762" i="11"/>
  <c r="B761" i="11"/>
  <c r="B760" i="11"/>
  <c r="B759" i="11"/>
  <c r="B758" i="11"/>
  <c r="B757" i="11"/>
  <c r="B756" i="11"/>
  <c r="B755" i="11"/>
  <c r="B754" i="11"/>
  <c r="B753" i="11"/>
  <c r="B752" i="11"/>
  <c r="B751" i="11"/>
  <c r="B750" i="11"/>
  <c r="B749" i="11"/>
  <c r="B748" i="11"/>
  <c r="B747" i="11"/>
  <c r="B746" i="11"/>
  <c r="B745" i="11"/>
  <c r="B744" i="11"/>
  <c r="B743" i="11"/>
  <c r="B742" i="11"/>
  <c r="B741" i="11"/>
  <c r="B740" i="11"/>
  <c r="B739" i="11"/>
  <c r="B738" i="11"/>
  <c r="B737" i="11"/>
  <c r="B736" i="11"/>
  <c r="B735" i="11"/>
  <c r="B734" i="11"/>
  <c r="B733" i="11"/>
  <c r="B732" i="11"/>
  <c r="B731" i="11"/>
  <c r="B730" i="11"/>
  <c r="B729" i="11"/>
  <c r="B728" i="11"/>
  <c r="B727" i="11"/>
  <c r="B726" i="11"/>
  <c r="B725" i="11"/>
  <c r="B724" i="11"/>
  <c r="B723" i="11"/>
  <c r="B722" i="11"/>
  <c r="B721" i="11"/>
  <c r="B720" i="11"/>
  <c r="B719" i="11"/>
  <c r="B718" i="11"/>
  <c r="B717" i="11"/>
  <c r="B716" i="11"/>
  <c r="B715" i="11"/>
  <c r="B714" i="11"/>
  <c r="B713" i="11"/>
  <c r="B712" i="11"/>
  <c r="B711" i="11"/>
  <c r="B710" i="11"/>
  <c r="B709" i="11"/>
  <c r="B708" i="11"/>
  <c r="B707" i="11"/>
  <c r="B706" i="11"/>
  <c r="B705" i="11"/>
  <c r="B704" i="11"/>
  <c r="B703" i="11"/>
  <c r="B702" i="11"/>
  <c r="B701" i="11"/>
  <c r="B700" i="11"/>
  <c r="B699" i="11"/>
  <c r="B698" i="11"/>
  <c r="B697" i="11"/>
  <c r="B696" i="11"/>
  <c r="B695" i="11"/>
  <c r="B694" i="11"/>
  <c r="B693" i="11"/>
  <c r="B692" i="11"/>
  <c r="B691" i="11"/>
  <c r="B690" i="11"/>
  <c r="B689" i="11"/>
  <c r="B688" i="11"/>
  <c r="B687" i="11"/>
  <c r="B686" i="11"/>
  <c r="B685" i="11"/>
  <c r="B684" i="11"/>
  <c r="B683" i="11"/>
  <c r="B682" i="11"/>
  <c r="B681" i="11"/>
  <c r="B680" i="11"/>
  <c r="B679" i="11"/>
  <c r="B678" i="11"/>
  <c r="B677" i="11"/>
  <c r="B676" i="11"/>
  <c r="B675" i="11"/>
  <c r="B674" i="11"/>
  <c r="B673" i="11"/>
  <c r="B672" i="11"/>
  <c r="B671" i="11"/>
  <c r="B670" i="11"/>
  <c r="B669" i="11"/>
  <c r="B668" i="11"/>
  <c r="B667" i="11"/>
  <c r="B666" i="11"/>
  <c r="B665" i="11"/>
  <c r="B664" i="11"/>
  <c r="B663" i="11"/>
  <c r="B662" i="11"/>
  <c r="B661" i="11"/>
  <c r="B660" i="11"/>
  <c r="B659" i="11"/>
  <c r="B658" i="11"/>
  <c r="B657" i="11"/>
  <c r="B656" i="11"/>
  <c r="B655" i="11"/>
  <c r="B654" i="11"/>
  <c r="B653" i="11"/>
  <c r="B652" i="11"/>
  <c r="B651" i="11"/>
  <c r="B650" i="11"/>
  <c r="B649" i="11"/>
  <c r="B648" i="11"/>
  <c r="B647" i="11"/>
  <c r="B646" i="11"/>
  <c r="B645" i="11"/>
  <c r="B644" i="11"/>
  <c r="B643" i="11"/>
  <c r="B642" i="11"/>
  <c r="B641" i="11"/>
  <c r="B640" i="11"/>
  <c r="B639" i="11"/>
  <c r="B638" i="11"/>
  <c r="B637" i="11"/>
  <c r="B636" i="11"/>
  <c r="B635" i="11"/>
  <c r="B634" i="11"/>
  <c r="B633" i="11"/>
  <c r="B632" i="11"/>
  <c r="B631" i="11"/>
  <c r="B630" i="11"/>
  <c r="B629" i="11"/>
  <c r="B628" i="11"/>
  <c r="B627" i="11"/>
  <c r="B626" i="11"/>
  <c r="B625" i="11"/>
  <c r="B624" i="11"/>
  <c r="B623" i="11"/>
  <c r="B622" i="11"/>
  <c r="B621" i="11"/>
  <c r="B620" i="11"/>
  <c r="B619" i="11"/>
  <c r="B618" i="11"/>
  <c r="B617" i="11"/>
  <c r="B616" i="11"/>
  <c r="B615" i="11"/>
  <c r="B614" i="11"/>
  <c r="B613" i="11"/>
  <c r="B612" i="11"/>
  <c r="B611" i="11"/>
  <c r="B610" i="11"/>
  <c r="B609" i="11"/>
  <c r="B608" i="11"/>
  <c r="B607" i="11"/>
  <c r="B606" i="11"/>
  <c r="B605" i="11"/>
  <c r="B604" i="11"/>
  <c r="B603" i="11"/>
  <c r="B602" i="11"/>
  <c r="B601" i="11"/>
  <c r="B600" i="11"/>
  <c r="B599" i="11"/>
  <c r="B598" i="11"/>
  <c r="B597" i="11"/>
  <c r="B596" i="11"/>
  <c r="B595" i="11"/>
  <c r="B594" i="11"/>
  <c r="B593" i="11"/>
  <c r="B592" i="11"/>
  <c r="B591" i="11"/>
  <c r="B590" i="11"/>
  <c r="B589" i="11"/>
  <c r="B588" i="11"/>
  <c r="B587" i="11"/>
  <c r="B586" i="11"/>
  <c r="B585" i="11"/>
  <c r="B584" i="11"/>
  <c r="B583" i="11"/>
  <c r="B582" i="11"/>
  <c r="B581" i="11"/>
  <c r="B580" i="11"/>
  <c r="B579" i="11"/>
  <c r="B578" i="11"/>
  <c r="B577" i="11"/>
  <c r="B576" i="11"/>
  <c r="B575" i="11"/>
  <c r="B574" i="11"/>
  <c r="B573" i="11"/>
  <c r="B572" i="11"/>
  <c r="B571" i="11"/>
  <c r="B570" i="11"/>
  <c r="B569" i="11"/>
  <c r="B568" i="11"/>
  <c r="B567" i="11"/>
  <c r="B566" i="11"/>
  <c r="B565" i="11"/>
  <c r="B564" i="11"/>
  <c r="B563" i="11"/>
  <c r="B562" i="11"/>
  <c r="B561" i="11"/>
  <c r="B560" i="11"/>
  <c r="B559" i="11"/>
  <c r="B558" i="11"/>
  <c r="B557" i="11"/>
  <c r="B556" i="11"/>
  <c r="B555" i="11"/>
  <c r="B554" i="11"/>
  <c r="B553" i="11"/>
  <c r="B552" i="11"/>
  <c r="B551" i="11"/>
  <c r="B550" i="11"/>
  <c r="B549" i="11"/>
  <c r="B548" i="11"/>
  <c r="B547" i="11"/>
  <c r="B546" i="11"/>
  <c r="B545" i="11"/>
  <c r="B544" i="11"/>
  <c r="B543" i="11"/>
  <c r="B542" i="11"/>
  <c r="B541" i="11"/>
  <c r="B540" i="11"/>
  <c r="B539" i="11"/>
  <c r="B538" i="11"/>
  <c r="B537" i="11"/>
  <c r="B536" i="11"/>
  <c r="B535" i="11"/>
  <c r="B534" i="11"/>
  <c r="B533" i="11"/>
  <c r="B532" i="11"/>
  <c r="B531" i="11"/>
  <c r="B530" i="11"/>
  <c r="B529" i="11"/>
  <c r="B528" i="11"/>
  <c r="B527" i="11"/>
  <c r="B526" i="11"/>
  <c r="B525" i="11"/>
  <c r="B524" i="11"/>
  <c r="B523" i="11"/>
  <c r="B522" i="11"/>
  <c r="B521" i="11"/>
  <c r="B520" i="11"/>
  <c r="B519" i="11"/>
  <c r="B518" i="11"/>
  <c r="B517" i="11"/>
  <c r="B516" i="11"/>
  <c r="B515" i="11"/>
  <c r="B514" i="11"/>
  <c r="B513" i="11"/>
  <c r="B512" i="11"/>
  <c r="B511" i="11"/>
  <c r="B510" i="11"/>
  <c r="B509" i="11"/>
  <c r="B508" i="11"/>
  <c r="B507" i="11"/>
  <c r="B506" i="11"/>
  <c r="B505" i="11"/>
  <c r="B504" i="11"/>
  <c r="B503" i="11"/>
  <c r="B502" i="11"/>
  <c r="B501" i="11"/>
  <c r="B500" i="11"/>
  <c r="B499" i="11"/>
  <c r="B498" i="11"/>
  <c r="B497" i="11"/>
  <c r="B496" i="11"/>
  <c r="B495" i="11"/>
  <c r="B494" i="11"/>
  <c r="B493" i="11"/>
  <c r="B492" i="11"/>
  <c r="B491" i="11"/>
  <c r="B490" i="11"/>
  <c r="B489" i="11"/>
  <c r="B488" i="11"/>
  <c r="B487" i="11"/>
  <c r="B486" i="11"/>
  <c r="B485" i="11"/>
  <c r="B484" i="11"/>
  <c r="B483" i="11"/>
  <c r="B482" i="11"/>
  <c r="B481" i="11"/>
  <c r="B480" i="11"/>
  <c r="B479" i="11"/>
  <c r="B478" i="11"/>
  <c r="B477" i="11"/>
  <c r="B476" i="11"/>
  <c r="B475" i="11"/>
  <c r="B474" i="11"/>
  <c r="B473" i="11"/>
  <c r="B472" i="11"/>
  <c r="B471" i="11"/>
  <c r="B470" i="11"/>
  <c r="B469" i="11"/>
  <c r="B468" i="11"/>
  <c r="B467" i="11"/>
  <c r="B466" i="11"/>
  <c r="B465" i="11"/>
  <c r="B464" i="11"/>
  <c r="B463" i="11"/>
  <c r="B462" i="11"/>
  <c r="B461" i="11"/>
  <c r="B460" i="11"/>
  <c r="B459" i="11"/>
  <c r="B458" i="11"/>
  <c r="B457" i="11"/>
  <c r="B456" i="11"/>
  <c r="B455" i="11"/>
  <c r="B454" i="11"/>
  <c r="B453" i="11"/>
  <c r="B452" i="11"/>
  <c r="B451" i="11"/>
  <c r="B450" i="11"/>
  <c r="B449" i="11"/>
  <c r="B448" i="11"/>
  <c r="B447" i="11"/>
  <c r="B446" i="11"/>
  <c r="B445" i="11"/>
  <c r="B444" i="11"/>
  <c r="B443" i="11"/>
  <c r="B442" i="11"/>
  <c r="B441" i="11"/>
  <c r="B440" i="11"/>
  <c r="B439" i="11"/>
  <c r="B438" i="11"/>
  <c r="B437" i="11"/>
  <c r="B436" i="11"/>
  <c r="B435" i="11"/>
  <c r="B434" i="11"/>
  <c r="B433" i="11"/>
  <c r="B432" i="11"/>
  <c r="B431" i="11"/>
  <c r="B430" i="11"/>
  <c r="B429" i="11"/>
  <c r="B428" i="11"/>
  <c r="B427" i="11"/>
  <c r="B426" i="11"/>
  <c r="B425" i="11"/>
  <c r="B424" i="11"/>
  <c r="B423" i="11"/>
  <c r="B422" i="11"/>
  <c r="B421" i="11"/>
  <c r="B420" i="11"/>
  <c r="B419" i="11"/>
  <c r="B418" i="11"/>
  <c r="B417" i="11"/>
  <c r="B416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69" i="11"/>
  <c r="B368" i="11"/>
  <c r="B367" i="11"/>
  <c r="B366" i="11"/>
  <c r="B365" i="11"/>
  <c r="B364" i="11"/>
  <c r="B363" i="11"/>
  <c r="B362" i="11"/>
  <c r="B361" i="11"/>
  <c r="B360" i="11"/>
  <c r="B359" i="11"/>
  <c r="B358" i="11"/>
  <c r="B357" i="11"/>
  <c r="B356" i="11"/>
  <c r="B355" i="11"/>
  <c r="B354" i="11"/>
  <c r="B353" i="11"/>
  <c r="B352" i="11"/>
  <c r="B351" i="11"/>
  <c r="B350" i="11"/>
  <c r="B349" i="11"/>
  <c r="B348" i="11"/>
  <c r="B347" i="11"/>
  <c r="B346" i="11"/>
  <c r="B345" i="11"/>
  <c r="B344" i="11"/>
  <c r="B343" i="11"/>
  <c r="B342" i="11"/>
  <c r="B341" i="11"/>
  <c r="B340" i="11"/>
  <c r="B339" i="11"/>
  <c r="B338" i="11"/>
  <c r="B337" i="11"/>
  <c r="B336" i="11"/>
  <c r="B335" i="11"/>
  <c r="B334" i="11"/>
  <c r="B333" i="11"/>
  <c r="B332" i="11"/>
  <c r="B331" i="11"/>
  <c r="B330" i="11"/>
  <c r="B329" i="11"/>
  <c r="B328" i="11"/>
  <c r="B327" i="11"/>
  <c r="B326" i="11"/>
  <c r="B325" i="11"/>
  <c r="B324" i="11"/>
  <c r="B323" i="11"/>
  <c r="B322" i="11"/>
  <c r="B321" i="11"/>
  <c r="B320" i="11"/>
  <c r="B319" i="11"/>
  <c r="B318" i="11"/>
  <c r="B317" i="11"/>
  <c r="B316" i="11"/>
  <c r="B315" i="11"/>
  <c r="B314" i="11"/>
  <c r="B313" i="11"/>
  <c r="B312" i="11"/>
  <c r="B311" i="11"/>
  <c r="B310" i="11"/>
  <c r="B309" i="11"/>
  <c r="B308" i="11"/>
  <c r="B307" i="11"/>
  <c r="B306" i="11"/>
  <c r="B305" i="11"/>
  <c r="B304" i="11"/>
  <c r="B303" i="11"/>
  <c r="B302" i="11"/>
  <c r="B301" i="11"/>
  <c r="B300" i="11"/>
  <c r="B299" i="11"/>
  <c r="B298" i="11"/>
  <c r="B297" i="11"/>
  <c r="B296" i="11"/>
  <c r="B295" i="11"/>
  <c r="B294" i="11"/>
  <c r="B293" i="11"/>
  <c r="B292" i="11"/>
  <c r="B291" i="11"/>
  <c r="B290" i="11"/>
  <c r="B289" i="11"/>
  <c r="B288" i="11"/>
  <c r="B287" i="11"/>
  <c r="B286" i="11"/>
  <c r="B285" i="11"/>
  <c r="B284" i="11"/>
  <c r="B283" i="11"/>
  <c r="B282" i="11"/>
  <c r="B281" i="11"/>
  <c r="B280" i="11"/>
  <c r="B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J27" i="11"/>
  <c r="B27" i="11"/>
  <c r="J26" i="11"/>
  <c r="B26" i="11"/>
  <c r="J25" i="11"/>
  <c r="B25" i="11"/>
  <c r="B24" i="11"/>
  <c r="B23" i="11"/>
  <c r="B22" i="11"/>
  <c r="B21" i="11"/>
  <c r="J20" i="11"/>
  <c r="B20" i="11"/>
  <c r="B19" i="11"/>
  <c r="B18" i="11"/>
  <c r="B17" i="11"/>
  <c r="B16" i="11"/>
  <c r="B15" i="11"/>
  <c r="B14" i="11"/>
  <c r="J13" i="11"/>
  <c r="J15" i="11" s="1"/>
  <c r="B13" i="11"/>
  <c r="B12" i="11"/>
  <c r="B11" i="11"/>
  <c r="B10" i="11"/>
  <c r="B9" i="11"/>
  <c r="B8" i="11"/>
  <c r="B7" i="11"/>
  <c r="B6" i="11"/>
  <c r="B5" i="11"/>
  <c r="B4" i="11"/>
  <c r="B2445" i="10"/>
  <c r="B2444" i="10"/>
  <c r="B2443" i="10"/>
  <c r="B2442" i="10"/>
  <c r="B2441" i="10"/>
  <c r="B2440" i="10"/>
  <c r="B2439" i="10"/>
  <c r="B2438" i="10"/>
  <c r="B2437" i="10"/>
  <c r="B2436" i="10"/>
  <c r="B2435" i="10"/>
  <c r="B2434" i="10"/>
  <c r="B2433" i="10"/>
  <c r="B2432" i="10"/>
  <c r="B2431" i="10"/>
  <c r="B2430" i="10"/>
  <c r="B2429" i="10"/>
  <c r="B2428" i="10"/>
  <c r="B2427" i="10"/>
  <c r="B2426" i="10"/>
  <c r="B2425" i="10"/>
  <c r="B2424" i="10"/>
  <c r="B2423" i="10"/>
  <c r="B2422" i="10"/>
  <c r="B2421" i="10"/>
  <c r="B2420" i="10"/>
  <c r="B2419" i="10"/>
  <c r="B2418" i="10"/>
  <c r="B2417" i="10"/>
  <c r="B2416" i="10"/>
  <c r="B2415" i="10"/>
  <c r="B2414" i="10"/>
  <c r="B2413" i="10"/>
  <c r="B2412" i="10"/>
  <c r="B2411" i="10"/>
  <c r="B2410" i="10"/>
  <c r="B2409" i="10"/>
  <c r="B2408" i="10"/>
  <c r="B2407" i="10"/>
  <c r="B2406" i="10"/>
  <c r="B2405" i="10"/>
  <c r="B2404" i="10"/>
  <c r="B2403" i="10"/>
  <c r="B2402" i="10"/>
  <c r="B2401" i="10"/>
  <c r="B2400" i="10"/>
  <c r="B2399" i="10"/>
  <c r="B2398" i="10"/>
  <c r="B2397" i="10"/>
  <c r="B2396" i="10"/>
  <c r="B2395" i="10"/>
  <c r="B2394" i="10"/>
  <c r="B2393" i="10"/>
  <c r="B2392" i="10"/>
  <c r="B2391" i="10"/>
  <c r="B2390" i="10"/>
  <c r="B2389" i="10"/>
  <c r="B2388" i="10"/>
  <c r="B2387" i="10"/>
  <c r="B2386" i="10"/>
  <c r="B2385" i="10"/>
  <c r="B2384" i="10"/>
  <c r="B2383" i="10"/>
  <c r="B2382" i="10"/>
  <c r="B2381" i="10"/>
  <c r="B2380" i="10"/>
  <c r="B2379" i="10"/>
  <c r="B2378" i="10"/>
  <c r="B2377" i="10"/>
  <c r="B2376" i="10"/>
  <c r="B2375" i="10"/>
  <c r="B2374" i="10"/>
  <c r="B2373" i="10"/>
  <c r="B2372" i="10"/>
  <c r="B2371" i="10"/>
  <c r="B2370" i="10"/>
  <c r="B2369" i="10"/>
  <c r="B2368" i="10"/>
  <c r="B2367" i="10"/>
  <c r="B2366" i="10"/>
  <c r="B2365" i="10"/>
  <c r="B2364" i="10"/>
  <c r="B2363" i="10"/>
  <c r="B2362" i="10"/>
  <c r="B2361" i="10"/>
  <c r="B2360" i="10"/>
  <c r="B2359" i="10"/>
  <c r="B2358" i="10"/>
  <c r="B2357" i="10"/>
  <c r="B2356" i="10"/>
  <c r="B2355" i="10"/>
  <c r="B2354" i="10"/>
  <c r="B2353" i="10"/>
  <c r="B2352" i="10"/>
  <c r="B2351" i="10"/>
  <c r="B2350" i="10"/>
  <c r="B2349" i="10"/>
  <c r="B2348" i="10"/>
  <c r="B2347" i="10"/>
  <c r="B2346" i="10"/>
  <c r="B2345" i="10"/>
  <c r="B2344" i="10"/>
  <c r="B2343" i="10"/>
  <c r="B2342" i="10"/>
  <c r="B2341" i="10"/>
  <c r="B2340" i="10"/>
  <c r="B2339" i="10"/>
  <c r="B2338" i="10"/>
  <c r="B2337" i="10"/>
  <c r="B2336" i="10"/>
  <c r="B2335" i="10"/>
  <c r="B2334" i="10"/>
  <c r="B2333" i="10"/>
  <c r="B2332" i="10"/>
  <c r="B2331" i="10"/>
  <c r="B2330" i="10"/>
  <c r="B2329" i="10"/>
  <c r="B2328" i="10"/>
  <c r="B2327" i="10"/>
  <c r="B2326" i="10"/>
  <c r="B2325" i="10"/>
  <c r="B2324" i="10"/>
  <c r="B2323" i="10"/>
  <c r="B2322" i="10"/>
  <c r="B2321" i="10"/>
  <c r="B2320" i="10"/>
  <c r="B2319" i="10"/>
  <c r="B2318" i="10"/>
  <c r="B2317" i="10"/>
  <c r="B2316" i="10"/>
  <c r="B2315" i="10"/>
  <c r="B2314" i="10"/>
  <c r="B2313" i="10"/>
  <c r="B2312" i="10"/>
  <c r="B2311" i="10"/>
  <c r="B2310" i="10"/>
  <c r="B2309" i="10"/>
  <c r="B2308" i="10"/>
  <c r="B2307" i="10"/>
  <c r="B2306" i="10"/>
  <c r="B2305" i="10"/>
  <c r="B2304" i="10"/>
  <c r="B2303" i="10"/>
  <c r="B2302" i="10"/>
  <c r="B2301" i="10"/>
  <c r="B2300" i="10"/>
  <c r="B2299" i="10"/>
  <c r="B2298" i="10"/>
  <c r="B2297" i="10"/>
  <c r="B2296" i="10"/>
  <c r="B2295" i="10"/>
  <c r="B2294" i="10"/>
  <c r="B2293" i="10"/>
  <c r="B2292" i="10"/>
  <c r="B2291" i="10"/>
  <c r="B2290" i="10"/>
  <c r="B2289" i="10"/>
  <c r="B2288" i="10"/>
  <c r="B2287" i="10"/>
  <c r="B2286" i="10"/>
  <c r="B2285" i="10"/>
  <c r="B2284" i="10"/>
  <c r="B2283" i="10"/>
  <c r="B2282" i="10"/>
  <c r="B2281" i="10"/>
  <c r="B2280" i="10"/>
  <c r="B2279" i="10"/>
  <c r="B2278" i="10"/>
  <c r="B2277" i="10"/>
  <c r="B2276" i="10"/>
  <c r="B2275" i="10"/>
  <c r="B2274" i="10"/>
  <c r="B2273" i="10"/>
  <c r="B2272" i="10"/>
  <c r="B2271" i="10"/>
  <c r="B2270" i="10"/>
  <c r="B2269" i="10"/>
  <c r="B2268" i="10"/>
  <c r="B2267" i="10"/>
  <c r="B2266" i="10"/>
  <c r="B2265" i="10"/>
  <c r="B2264" i="10"/>
  <c r="B2263" i="10"/>
  <c r="B2262" i="10"/>
  <c r="B2261" i="10"/>
  <c r="B2260" i="10"/>
  <c r="B2259" i="10"/>
  <c r="B2258" i="10"/>
  <c r="B2257" i="10"/>
  <c r="B2256" i="10"/>
  <c r="B2255" i="10"/>
  <c r="B2254" i="10"/>
  <c r="B2253" i="10"/>
  <c r="B2252" i="10"/>
  <c r="B2251" i="10"/>
  <c r="B2250" i="10"/>
  <c r="B2249" i="10"/>
  <c r="B2248" i="10"/>
  <c r="B2247" i="10"/>
  <c r="B2246" i="10"/>
  <c r="B2245" i="10"/>
  <c r="B2244" i="10"/>
  <c r="B2243" i="10"/>
  <c r="B2242" i="10"/>
  <c r="B2241" i="10"/>
  <c r="B2240" i="10"/>
  <c r="B2239" i="10"/>
  <c r="B2238" i="10"/>
  <c r="B2237" i="10"/>
  <c r="B2236" i="10"/>
  <c r="B2235" i="10"/>
  <c r="B2234" i="10"/>
  <c r="B2233" i="10"/>
  <c r="B2232" i="10"/>
  <c r="B2231" i="10"/>
  <c r="B2230" i="10"/>
  <c r="B2229" i="10"/>
  <c r="B2228" i="10"/>
  <c r="B2227" i="10"/>
  <c r="B2226" i="10"/>
  <c r="B2225" i="10"/>
  <c r="B2224" i="10"/>
  <c r="B2223" i="10"/>
  <c r="B2222" i="10"/>
  <c r="B2221" i="10"/>
  <c r="B2220" i="10"/>
  <c r="B2219" i="10"/>
  <c r="B2218" i="10"/>
  <c r="B2217" i="10"/>
  <c r="B2216" i="10"/>
  <c r="B2215" i="10"/>
  <c r="B2214" i="10"/>
  <c r="B2213" i="10"/>
  <c r="B2212" i="10"/>
  <c r="B2211" i="10"/>
  <c r="B2210" i="10"/>
  <c r="B2209" i="10"/>
  <c r="B2208" i="10"/>
  <c r="B2207" i="10"/>
  <c r="B2206" i="10"/>
  <c r="B2205" i="10"/>
  <c r="B2204" i="10"/>
  <c r="B2203" i="10"/>
  <c r="B2202" i="10"/>
  <c r="B2201" i="10"/>
  <c r="B2200" i="10"/>
  <c r="B2199" i="10"/>
  <c r="B2198" i="10"/>
  <c r="B2197" i="10"/>
  <c r="B2196" i="10"/>
  <c r="B2195" i="10"/>
  <c r="B2194" i="10"/>
  <c r="B2193" i="10"/>
  <c r="B2192" i="10"/>
  <c r="B2191" i="10"/>
  <c r="B2190" i="10"/>
  <c r="B2189" i="10"/>
  <c r="B2188" i="10"/>
  <c r="B2187" i="10"/>
  <c r="B2186" i="10"/>
  <c r="B2185" i="10"/>
  <c r="B2184" i="10"/>
  <c r="B2183" i="10"/>
  <c r="B2182" i="10"/>
  <c r="B2181" i="10"/>
  <c r="B2180" i="10"/>
  <c r="B2179" i="10"/>
  <c r="B2178" i="10"/>
  <c r="B2177" i="10"/>
  <c r="B2176" i="10"/>
  <c r="B2175" i="10"/>
  <c r="B2174" i="10"/>
  <c r="B2173" i="10"/>
  <c r="B2172" i="10"/>
  <c r="B2171" i="10"/>
  <c r="B2170" i="10"/>
  <c r="B2169" i="10"/>
  <c r="B2168" i="10"/>
  <c r="B2167" i="10"/>
  <c r="B2166" i="10"/>
  <c r="B2165" i="10"/>
  <c r="B2164" i="10"/>
  <c r="B2163" i="10"/>
  <c r="B2162" i="10"/>
  <c r="B2161" i="10"/>
  <c r="B2160" i="10"/>
  <c r="B2159" i="10"/>
  <c r="B2158" i="10"/>
  <c r="B2157" i="10"/>
  <c r="B2156" i="10"/>
  <c r="B2155" i="10"/>
  <c r="B2154" i="10"/>
  <c r="B2153" i="10"/>
  <c r="B2152" i="10"/>
  <c r="B2151" i="10"/>
  <c r="B2150" i="10"/>
  <c r="B2149" i="10"/>
  <c r="B2148" i="10"/>
  <c r="B2147" i="10"/>
  <c r="B2146" i="10"/>
  <c r="B2145" i="10"/>
  <c r="B2144" i="10"/>
  <c r="B2143" i="10"/>
  <c r="B2142" i="10"/>
  <c r="B2141" i="10"/>
  <c r="B2140" i="10"/>
  <c r="B2139" i="10"/>
  <c r="B2138" i="10"/>
  <c r="B2137" i="10"/>
  <c r="B2136" i="10"/>
  <c r="B2135" i="10"/>
  <c r="B2134" i="10"/>
  <c r="B2133" i="10"/>
  <c r="B2132" i="10"/>
  <c r="B2131" i="10"/>
  <c r="B2130" i="10"/>
  <c r="B2129" i="10"/>
  <c r="B2128" i="10"/>
  <c r="B2127" i="10"/>
  <c r="B2126" i="10"/>
  <c r="B2125" i="10"/>
  <c r="B2124" i="10"/>
  <c r="B2123" i="10"/>
  <c r="B2122" i="10"/>
  <c r="B2121" i="10"/>
  <c r="B2120" i="10"/>
  <c r="B2119" i="10"/>
  <c r="B2118" i="10"/>
  <c r="B2117" i="10"/>
  <c r="B2116" i="10"/>
  <c r="B2115" i="10"/>
  <c r="B2114" i="10"/>
  <c r="B2113" i="10"/>
  <c r="B2112" i="10"/>
  <c r="B2111" i="10"/>
  <c r="B2110" i="10"/>
  <c r="B2109" i="10"/>
  <c r="B2108" i="10"/>
  <c r="B2107" i="10"/>
  <c r="B2106" i="10"/>
  <c r="B2105" i="10"/>
  <c r="B2104" i="10"/>
  <c r="B2103" i="10"/>
  <c r="B2102" i="10"/>
  <c r="B2101" i="10"/>
  <c r="B2100" i="10"/>
  <c r="B2099" i="10"/>
  <c r="B2098" i="10"/>
  <c r="B2097" i="10"/>
  <c r="B2096" i="10"/>
  <c r="B2095" i="10"/>
  <c r="B2094" i="10"/>
  <c r="B2093" i="10"/>
  <c r="B2092" i="10"/>
  <c r="B2091" i="10"/>
  <c r="B2090" i="10"/>
  <c r="B2089" i="10"/>
  <c r="B2088" i="10"/>
  <c r="B2087" i="10"/>
  <c r="B2086" i="10"/>
  <c r="B2085" i="10"/>
  <c r="B2084" i="10"/>
  <c r="B2083" i="10"/>
  <c r="B2082" i="10"/>
  <c r="B2081" i="10"/>
  <c r="B2080" i="10"/>
  <c r="B2079" i="10"/>
  <c r="B2078" i="10"/>
  <c r="B2077" i="10"/>
  <c r="B2076" i="10"/>
  <c r="B2075" i="10"/>
  <c r="B2074" i="10"/>
  <c r="B2073" i="10"/>
  <c r="B2072" i="10"/>
  <c r="B2071" i="10"/>
  <c r="B2070" i="10"/>
  <c r="B2069" i="10"/>
  <c r="B2068" i="10"/>
  <c r="B2067" i="10"/>
  <c r="B2066" i="10"/>
  <c r="B2065" i="10"/>
  <c r="B2064" i="10"/>
  <c r="B2063" i="10"/>
  <c r="B2062" i="10"/>
  <c r="B2061" i="10"/>
  <c r="B2060" i="10"/>
  <c r="B2059" i="10"/>
  <c r="B2058" i="10"/>
  <c r="B2057" i="10"/>
  <c r="B2056" i="10"/>
  <c r="B2055" i="10"/>
  <c r="B2054" i="10"/>
  <c r="B2053" i="10"/>
  <c r="B2052" i="10"/>
  <c r="B2051" i="10"/>
  <c r="B2050" i="10"/>
  <c r="B2049" i="10"/>
  <c r="B2048" i="10"/>
  <c r="B2047" i="10"/>
  <c r="B2046" i="10"/>
  <c r="B2045" i="10"/>
  <c r="B2044" i="10"/>
  <c r="B2043" i="10"/>
  <c r="B2042" i="10"/>
  <c r="B2041" i="10"/>
  <c r="B2040" i="10"/>
  <c r="B2039" i="10"/>
  <c r="B2038" i="10"/>
  <c r="B2037" i="10"/>
  <c r="B2036" i="10"/>
  <c r="B2035" i="10"/>
  <c r="B2034" i="10"/>
  <c r="B2033" i="10"/>
  <c r="B2032" i="10"/>
  <c r="B2031" i="10"/>
  <c r="B2030" i="10"/>
  <c r="B2029" i="10"/>
  <c r="B2028" i="10"/>
  <c r="B2027" i="10"/>
  <c r="B2026" i="10"/>
  <c r="B2025" i="10"/>
  <c r="B2024" i="10"/>
  <c r="B2023" i="10"/>
  <c r="B2022" i="10"/>
  <c r="B2021" i="10"/>
  <c r="B2020" i="10"/>
  <c r="B2019" i="10"/>
  <c r="B2018" i="10"/>
  <c r="B2017" i="10"/>
  <c r="B2016" i="10"/>
  <c r="B2015" i="10"/>
  <c r="B2014" i="10"/>
  <c r="B2013" i="10"/>
  <c r="B2012" i="10"/>
  <c r="B2011" i="10"/>
  <c r="B2010" i="10"/>
  <c r="B2009" i="10"/>
  <c r="B2008" i="10"/>
  <c r="B2007" i="10"/>
  <c r="B2006" i="10"/>
  <c r="B2005" i="10"/>
  <c r="B2004" i="10"/>
  <c r="B2003" i="10"/>
  <c r="B2002" i="10"/>
  <c r="B2001" i="10"/>
  <c r="B2000" i="10"/>
  <c r="B1999" i="10"/>
  <c r="B1998" i="10"/>
  <c r="B1997" i="10"/>
  <c r="B1996" i="10"/>
  <c r="B1995" i="10"/>
  <c r="B1994" i="10"/>
  <c r="B1993" i="10"/>
  <c r="B1992" i="10"/>
  <c r="B1991" i="10"/>
  <c r="B1990" i="10"/>
  <c r="B1989" i="10"/>
  <c r="B1988" i="10"/>
  <c r="B1987" i="10"/>
  <c r="B1986" i="10"/>
  <c r="B1985" i="10"/>
  <c r="B1984" i="10"/>
  <c r="B1983" i="10"/>
  <c r="B1982" i="10"/>
  <c r="B1981" i="10"/>
  <c r="B1980" i="10"/>
  <c r="B1979" i="10"/>
  <c r="B1978" i="10"/>
  <c r="B1977" i="10"/>
  <c r="B1976" i="10"/>
  <c r="B1975" i="10"/>
  <c r="B1974" i="10"/>
  <c r="B1973" i="10"/>
  <c r="B1972" i="10"/>
  <c r="B1971" i="10"/>
  <c r="B1970" i="10"/>
  <c r="B1969" i="10"/>
  <c r="B1968" i="10"/>
  <c r="B1967" i="10"/>
  <c r="B1966" i="10"/>
  <c r="B1965" i="10"/>
  <c r="B1964" i="10"/>
  <c r="B1963" i="10"/>
  <c r="B1962" i="10"/>
  <c r="B1961" i="10"/>
  <c r="B1960" i="10"/>
  <c r="B1959" i="10"/>
  <c r="B1958" i="10"/>
  <c r="B1957" i="10"/>
  <c r="B1956" i="10"/>
  <c r="B1955" i="10"/>
  <c r="B1954" i="10"/>
  <c r="B1953" i="10"/>
  <c r="B1952" i="10"/>
  <c r="B1951" i="10"/>
  <c r="B1950" i="10"/>
  <c r="B1949" i="10"/>
  <c r="B1948" i="10"/>
  <c r="B1947" i="10"/>
  <c r="B1946" i="10"/>
  <c r="B1945" i="10"/>
  <c r="B1944" i="10"/>
  <c r="B1943" i="10"/>
  <c r="B1942" i="10"/>
  <c r="B1941" i="10"/>
  <c r="B1940" i="10"/>
  <c r="B1939" i="10"/>
  <c r="B1938" i="10"/>
  <c r="B1937" i="10"/>
  <c r="B1936" i="10"/>
  <c r="B1935" i="10"/>
  <c r="B1934" i="10"/>
  <c r="B1933" i="10"/>
  <c r="B1932" i="10"/>
  <c r="B1931" i="10"/>
  <c r="B1930" i="10"/>
  <c r="B1929" i="10"/>
  <c r="B1928" i="10"/>
  <c r="B1927" i="10"/>
  <c r="B1926" i="10"/>
  <c r="B1925" i="10"/>
  <c r="B1924" i="10"/>
  <c r="B1923" i="10"/>
  <c r="B1922" i="10"/>
  <c r="B1921" i="10"/>
  <c r="B1920" i="10"/>
  <c r="B1919" i="10"/>
  <c r="B1918" i="10"/>
  <c r="B1917" i="10"/>
  <c r="B1916" i="10"/>
  <c r="B1915" i="10"/>
  <c r="B1914" i="10"/>
  <c r="B1913" i="10"/>
  <c r="B1912" i="10"/>
  <c r="B1911" i="10"/>
  <c r="B1910" i="10"/>
  <c r="B1909" i="10"/>
  <c r="B1908" i="10"/>
  <c r="B1907" i="10"/>
  <c r="B1906" i="10"/>
  <c r="B1905" i="10"/>
  <c r="B1904" i="10"/>
  <c r="B1903" i="10"/>
  <c r="B1902" i="10"/>
  <c r="B1901" i="10"/>
  <c r="B1900" i="10"/>
  <c r="B1899" i="10"/>
  <c r="B1898" i="10"/>
  <c r="B1897" i="10"/>
  <c r="B1896" i="10"/>
  <c r="B1895" i="10"/>
  <c r="B1894" i="10"/>
  <c r="B1893" i="10"/>
  <c r="B1892" i="10"/>
  <c r="B1891" i="10"/>
  <c r="B1890" i="10"/>
  <c r="B1889" i="10"/>
  <c r="B1888" i="10"/>
  <c r="B1887" i="10"/>
  <c r="B1886" i="10"/>
  <c r="B1885" i="10"/>
  <c r="B1884" i="10"/>
  <c r="B1883" i="10"/>
  <c r="B1882" i="10"/>
  <c r="B1881" i="10"/>
  <c r="B1880" i="10"/>
  <c r="B1879" i="10"/>
  <c r="B1878" i="10"/>
  <c r="B1877" i="10"/>
  <c r="B1876" i="10"/>
  <c r="B1875" i="10"/>
  <c r="B1874" i="10"/>
  <c r="B1873" i="10"/>
  <c r="B1872" i="10"/>
  <c r="B1871" i="10"/>
  <c r="B1870" i="10"/>
  <c r="B1869" i="10"/>
  <c r="B1868" i="10"/>
  <c r="B1867" i="10"/>
  <c r="B1866" i="10"/>
  <c r="B1865" i="10"/>
  <c r="B1864" i="10"/>
  <c r="B1863" i="10"/>
  <c r="B1862" i="10"/>
  <c r="B1861" i="10"/>
  <c r="B1860" i="10"/>
  <c r="B1859" i="10"/>
  <c r="B1858" i="10"/>
  <c r="B1857" i="10"/>
  <c r="B1856" i="10"/>
  <c r="B1855" i="10"/>
  <c r="B1854" i="10"/>
  <c r="B1853" i="10"/>
  <c r="B1852" i="10"/>
  <c r="B1851" i="10"/>
  <c r="B1850" i="10"/>
  <c r="B1849" i="10"/>
  <c r="B1848" i="10"/>
  <c r="B1847" i="10"/>
  <c r="B1846" i="10"/>
  <c r="B1845" i="10"/>
  <c r="B1844" i="10"/>
  <c r="B1843" i="10"/>
  <c r="B1842" i="10"/>
  <c r="B1841" i="10"/>
  <c r="B1840" i="10"/>
  <c r="B1839" i="10"/>
  <c r="B1838" i="10"/>
  <c r="B1837" i="10"/>
  <c r="B1836" i="10"/>
  <c r="B1835" i="10"/>
  <c r="B1834" i="10"/>
  <c r="B1833" i="10"/>
  <c r="B1832" i="10"/>
  <c r="B1831" i="10"/>
  <c r="B1830" i="10"/>
  <c r="B1829" i="10"/>
  <c r="B1828" i="10"/>
  <c r="B1827" i="10"/>
  <c r="B1826" i="10"/>
  <c r="B1825" i="10"/>
  <c r="B1824" i="10"/>
  <c r="B1823" i="10"/>
  <c r="B1822" i="10"/>
  <c r="B1821" i="10"/>
  <c r="B1820" i="10"/>
  <c r="B1819" i="10"/>
  <c r="B1818" i="10"/>
  <c r="B1817" i="10"/>
  <c r="B1816" i="10"/>
  <c r="B1815" i="10"/>
  <c r="B1814" i="10"/>
  <c r="B1813" i="10"/>
  <c r="B1812" i="10"/>
  <c r="B1811" i="10"/>
  <c r="B1810" i="10"/>
  <c r="B1809" i="10"/>
  <c r="B1808" i="10"/>
  <c r="B1807" i="10"/>
  <c r="B1806" i="10"/>
  <c r="B1805" i="10"/>
  <c r="B1804" i="10"/>
  <c r="B1803" i="10"/>
  <c r="B1802" i="10"/>
  <c r="B1801" i="10"/>
  <c r="B1800" i="10"/>
  <c r="B1799" i="10"/>
  <c r="B1798" i="10"/>
  <c r="B1797" i="10"/>
  <c r="B1796" i="10"/>
  <c r="B1795" i="10"/>
  <c r="B1794" i="10"/>
  <c r="B1793" i="10"/>
  <c r="B1792" i="10"/>
  <c r="B1791" i="10"/>
  <c r="B1790" i="10"/>
  <c r="B1789" i="10"/>
  <c r="B1788" i="10"/>
  <c r="B1787" i="10"/>
  <c r="B1786" i="10"/>
  <c r="B1785" i="10"/>
  <c r="B1784" i="10"/>
  <c r="B1783" i="10"/>
  <c r="B1782" i="10"/>
  <c r="B1781" i="10"/>
  <c r="B1780" i="10"/>
  <c r="B1779" i="10"/>
  <c r="B1778" i="10"/>
  <c r="B1777" i="10"/>
  <c r="B1776" i="10"/>
  <c r="B1775" i="10"/>
  <c r="B1774" i="10"/>
  <c r="B1773" i="10"/>
  <c r="B1772" i="10"/>
  <c r="B1771" i="10"/>
  <c r="B1770" i="10"/>
  <c r="B1769" i="10"/>
  <c r="B1768" i="10"/>
  <c r="B1767" i="10"/>
  <c r="B1766" i="10"/>
  <c r="B1765" i="10"/>
  <c r="B1764" i="10"/>
  <c r="B1763" i="10"/>
  <c r="B1762" i="10"/>
  <c r="B1761" i="10"/>
  <c r="B1760" i="10"/>
  <c r="B1759" i="10"/>
  <c r="B1758" i="10"/>
  <c r="B1757" i="10"/>
  <c r="B1756" i="10"/>
  <c r="B1755" i="10"/>
  <c r="B1754" i="10"/>
  <c r="B1753" i="10"/>
  <c r="B1752" i="10"/>
  <c r="B1751" i="10"/>
  <c r="B1750" i="10"/>
  <c r="B1749" i="10"/>
  <c r="B1748" i="10"/>
  <c r="B1747" i="10"/>
  <c r="B1746" i="10"/>
  <c r="B1745" i="10"/>
  <c r="B1744" i="10"/>
  <c r="B1743" i="10"/>
  <c r="B1742" i="10"/>
  <c r="B1741" i="10"/>
  <c r="B1740" i="10"/>
  <c r="B1739" i="10"/>
  <c r="B1738" i="10"/>
  <c r="B1737" i="10"/>
  <c r="B1736" i="10"/>
  <c r="B1735" i="10"/>
  <c r="B1734" i="10"/>
  <c r="B1733" i="10"/>
  <c r="B1732" i="10"/>
  <c r="B1731" i="10"/>
  <c r="B1730" i="10"/>
  <c r="B1729" i="10"/>
  <c r="B1728" i="10"/>
  <c r="B1727" i="10"/>
  <c r="B1726" i="10"/>
  <c r="B1725" i="10"/>
  <c r="B1724" i="10"/>
  <c r="B1723" i="10"/>
  <c r="B1722" i="10"/>
  <c r="B1721" i="10"/>
  <c r="B1720" i="10"/>
  <c r="B1719" i="10"/>
  <c r="B1718" i="10"/>
  <c r="B1717" i="10"/>
  <c r="B1716" i="10"/>
  <c r="B1715" i="10"/>
  <c r="B1714" i="10"/>
  <c r="B1713" i="10"/>
  <c r="B1712" i="10"/>
  <c r="B1711" i="10"/>
  <c r="B1710" i="10"/>
  <c r="B1709" i="10"/>
  <c r="B1708" i="10"/>
  <c r="B1707" i="10"/>
  <c r="B1706" i="10"/>
  <c r="B1705" i="10"/>
  <c r="B1704" i="10"/>
  <c r="B1703" i="10"/>
  <c r="B1702" i="10"/>
  <c r="B1701" i="10"/>
  <c r="B1700" i="10"/>
  <c r="B1699" i="10"/>
  <c r="B1698" i="10"/>
  <c r="B1697" i="10"/>
  <c r="B1696" i="10"/>
  <c r="B1695" i="10"/>
  <c r="B1694" i="10"/>
  <c r="B1693" i="10"/>
  <c r="B1692" i="10"/>
  <c r="B1691" i="10"/>
  <c r="B1690" i="10"/>
  <c r="B1689" i="10"/>
  <c r="B1688" i="10"/>
  <c r="B1687" i="10"/>
  <c r="B1686" i="10"/>
  <c r="B1685" i="10"/>
  <c r="B1684" i="10"/>
  <c r="B1683" i="10"/>
  <c r="B1682" i="10"/>
  <c r="B1681" i="10"/>
  <c r="B1680" i="10"/>
  <c r="B1679" i="10"/>
  <c r="B1678" i="10"/>
  <c r="B1677" i="10"/>
  <c r="B1676" i="10"/>
  <c r="B1675" i="10"/>
  <c r="B1674" i="10"/>
  <c r="B1673" i="10"/>
  <c r="B1672" i="10"/>
  <c r="B1671" i="10"/>
  <c r="B1670" i="10"/>
  <c r="B1669" i="10"/>
  <c r="B1668" i="10"/>
  <c r="B1667" i="10"/>
  <c r="B1666" i="10"/>
  <c r="B1665" i="10"/>
  <c r="B1664" i="10"/>
  <c r="B1663" i="10"/>
  <c r="B1662" i="10"/>
  <c r="B1661" i="10"/>
  <c r="B1660" i="10"/>
  <c r="B1659" i="10"/>
  <c r="B1658" i="10"/>
  <c r="B1657" i="10"/>
  <c r="B1656" i="10"/>
  <c r="B1655" i="10"/>
  <c r="B1654" i="10"/>
  <c r="B1653" i="10"/>
  <c r="B1652" i="10"/>
  <c r="B1651" i="10"/>
  <c r="B1650" i="10"/>
  <c r="B1649" i="10"/>
  <c r="B1648" i="10"/>
  <c r="B1647" i="10"/>
  <c r="B1646" i="10"/>
  <c r="B1645" i="10"/>
  <c r="B1644" i="10"/>
  <c r="B1643" i="10"/>
  <c r="B1642" i="10"/>
  <c r="B1641" i="10"/>
  <c r="B1640" i="10"/>
  <c r="B1639" i="10"/>
  <c r="B1638" i="10"/>
  <c r="B1637" i="10"/>
  <c r="B1636" i="10"/>
  <c r="B1635" i="10"/>
  <c r="B1634" i="10"/>
  <c r="B1633" i="10"/>
  <c r="B1632" i="10"/>
  <c r="B1631" i="10"/>
  <c r="B1630" i="10"/>
  <c r="B1629" i="10"/>
  <c r="B1628" i="10"/>
  <c r="B1627" i="10"/>
  <c r="B1626" i="10"/>
  <c r="B1625" i="10"/>
  <c r="B1624" i="10"/>
  <c r="B1623" i="10"/>
  <c r="B1622" i="10"/>
  <c r="B1621" i="10"/>
  <c r="B1620" i="10"/>
  <c r="B1619" i="10"/>
  <c r="B1618" i="10"/>
  <c r="B1617" i="10"/>
  <c r="B1616" i="10"/>
  <c r="B1615" i="10"/>
  <c r="B1614" i="10"/>
  <c r="B1613" i="10"/>
  <c r="B1612" i="10"/>
  <c r="B1611" i="10"/>
  <c r="B1610" i="10"/>
  <c r="B1609" i="10"/>
  <c r="B1608" i="10"/>
  <c r="B1607" i="10"/>
  <c r="B1606" i="10"/>
  <c r="B1605" i="10"/>
  <c r="B1604" i="10"/>
  <c r="B1603" i="10"/>
  <c r="B1602" i="10"/>
  <c r="B1601" i="10"/>
  <c r="B1600" i="10"/>
  <c r="B1599" i="10"/>
  <c r="B1598" i="10"/>
  <c r="B1597" i="10"/>
  <c r="B1596" i="10"/>
  <c r="B1595" i="10"/>
  <c r="B1594" i="10"/>
  <c r="B1593" i="10"/>
  <c r="B1592" i="10"/>
  <c r="B1591" i="10"/>
  <c r="B1590" i="10"/>
  <c r="B1589" i="10"/>
  <c r="B1588" i="10"/>
  <c r="B1587" i="10"/>
  <c r="B1586" i="10"/>
  <c r="B1585" i="10"/>
  <c r="B1584" i="10"/>
  <c r="B1583" i="10"/>
  <c r="B1582" i="10"/>
  <c r="B1581" i="10"/>
  <c r="B1580" i="10"/>
  <c r="B1579" i="10"/>
  <c r="B1578" i="10"/>
  <c r="B1577" i="10"/>
  <c r="B1576" i="10"/>
  <c r="B1575" i="10"/>
  <c r="B1574" i="10"/>
  <c r="B1573" i="10"/>
  <c r="B1572" i="10"/>
  <c r="B1571" i="10"/>
  <c r="B1570" i="10"/>
  <c r="B1569" i="10"/>
  <c r="B1568" i="10"/>
  <c r="B1567" i="10"/>
  <c r="B1566" i="10"/>
  <c r="B1565" i="10"/>
  <c r="B1564" i="10"/>
  <c r="B1563" i="10"/>
  <c r="B1562" i="10"/>
  <c r="B1561" i="10"/>
  <c r="B1560" i="10"/>
  <c r="B1559" i="10"/>
  <c r="B1558" i="10"/>
  <c r="B1557" i="10"/>
  <c r="B1556" i="10"/>
  <c r="B1555" i="10"/>
  <c r="B1554" i="10"/>
  <c r="B1553" i="10"/>
  <c r="B1552" i="10"/>
  <c r="B1551" i="10"/>
  <c r="B1550" i="10"/>
  <c r="B1549" i="10"/>
  <c r="B1548" i="10"/>
  <c r="B1547" i="10"/>
  <c r="B1546" i="10"/>
  <c r="B1545" i="10"/>
  <c r="B1544" i="10"/>
  <c r="B1543" i="10"/>
  <c r="B1542" i="10"/>
  <c r="B1541" i="10"/>
  <c r="B1540" i="10"/>
  <c r="B1539" i="10"/>
  <c r="B1538" i="10"/>
  <c r="B1537" i="10"/>
  <c r="B1536" i="10"/>
  <c r="B1535" i="10"/>
  <c r="B1534" i="10"/>
  <c r="B1533" i="10"/>
  <c r="B1532" i="10"/>
  <c r="B1531" i="10"/>
  <c r="B1530" i="10"/>
  <c r="B1529" i="10"/>
  <c r="B1528" i="10"/>
  <c r="B1527" i="10"/>
  <c r="B1526" i="10"/>
  <c r="B1525" i="10"/>
  <c r="B1524" i="10"/>
  <c r="B1523" i="10"/>
  <c r="B1522" i="10"/>
  <c r="B1521" i="10"/>
  <c r="B1520" i="10"/>
  <c r="B1519" i="10"/>
  <c r="B1518" i="10"/>
  <c r="B1517" i="10"/>
  <c r="B1516" i="10"/>
  <c r="B1515" i="10"/>
  <c r="B1514" i="10"/>
  <c r="B1513" i="10"/>
  <c r="B1512" i="10"/>
  <c r="B1511" i="10"/>
  <c r="B1510" i="10"/>
  <c r="B1509" i="10"/>
  <c r="B1508" i="10"/>
  <c r="B1507" i="10"/>
  <c r="B1506" i="10"/>
  <c r="B1505" i="10"/>
  <c r="B1504" i="10"/>
  <c r="B1503" i="10"/>
  <c r="B1502" i="10"/>
  <c r="B1501" i="10"/>
  <c r="B1500" i="10"/>
  <c r="B1499" i="10"/>
  <c r="B1498" i="10"/>
  <c r="B1497" i="10"/>
  <c r="B1496" i="10"/>
  <c r="B1495" i="10"/>
  <c r="B1494" i="10"/>
  <c r="B1493" i="10"/>
  <c r="B1492" i="10"/>
  <c r="B1491" i="10"/>
  <c r="B1490" i="10"/>
  <c r="B1489" i="10"/>
  <c r="B1488" i="10"/>
  <c r="B1487" i="10"/>
  <c r="B1486" i="10"/>
  <c r="B1485" i="10"/>
  <c r="B1484" i="10"/>
  <c r="B1483" i="10"/>
  <c r="B1482" i="10"/>
  <c r="B1481" i="10"/>
  <c r="B1480" i="10"/>
  <c r="B1479" i="10"/>
  <c r="B1478" i="10"/>
  <c r="B1477" i="10"/>
  <c r="B1476" i="10"/>
  <c r="B1475" i="10"/>
  <c r="B1474" i="10"/>
  <c r="B1473" i="10"/>
  <c r="B1472" i="10"/>
  <c r="B1471" i="10"/>
  <c r="B1470" i="10"/>
  <c r="B1469" i="10"/>
  <c r="B1468" i="10"/>
  <c r="B1467" i="10"/>
  <c r="B1466" i="10"/>
  <c r="B1465" i="10"/>
  <c r="B1464" i="10"/>
  <c r="B1463" i="10"/>
  <c r="B1462" i="10"/>
  <c r="B1461" i="10"/>
  <c r="B1460" i="10"/>
  <c r="B1459" i="10"/>
  <c r="B1458" i="10"/>
  <c r="B1457" i="10"/>
  <c r="B1456" i="10"/>
  <c r="B1455" i="10"/>
  <c r="B1454" i="10"/>
  <c r="B1453" i="10"/>
  <c r="B1452" i="10"/>
  <c r="B1451" i="10"/>
  <c r="B1450" i="10"/>
  <c r="B1449" i="10"/>
  <c r="B1448" i="10"/>
  <c r="B1447" i="10"/>
  <c r="B1446" i="10"/>
  <c r="B1445" i="10"/>
  <c r="B1444" i="10"/>
  <c r="B1443" i="10"/>
  <c r="B1442" i="10"/>
  <c r="B1441" i="10"/>
  <c r="B1440" i="10"/>
  <c r="B1439" i="10"/>
  <c r="B1438" i="10"/>
  <c r="B1437" i="10"/>
  <c r="B1436" i="10"/>
  <c r="B1435" i="10"/>
  <c r="B1434" i="10"/>
  <c r="B1433" i="10"/>
  <c r="B1432" i="10"/>
  <c r="B1431" i="10"/>
  <c r="B1430" i="10"/>
  <c r="B1429" i="10"/>
  <c r="B1428" i="10"/>
  <c r="B1427" i="10"/>
  <c r="B1426" i="10"/>
  <c r="B1425" i="10"/>
  <c r="B1424" i="10"/>
  <c r="B1423" i="10"/>
  <c r="B1422" i="10"/>
  <c r="B1421" i="10"/>
  <c r="B1420" i="10"/>
  <c r="B1419" i="10"/>
  <c r="B1418" i="10"/>
  <c r="B1417" i="10"/>
  <c r="B1416" i="10"/>
  <c r="B1415" i="10"/>
  <c r="B1414" i="10"/>
  <c r="B1413" i="10"/>
  <c r="B1412" i="10"/>
  <c r="B1411" i="10"/>
  <c r="B1410" i="10"/>
  <c r="B1409" i="10"/>
  <c r="B1408" i="10"/>
  <c r="B1407" i="10"/>
  <c r="B1406" i="10"/>
  <c r="B1405" i="10"/>
  <c r="B1404" i="10"/>
  <c r="B1403" i="10"/>
  <c r="B1402" i="10"/>
  <c r="B1401" i="10"/>
  <c r="B1400" i="10"/>
  <c r="B1399" i="10"/>
  <c r="B1398" i="10"/>
  <c r="B1397" i="10"/>
  <c r="B1396" i="10"/>
  <c r="B1395" i="10"/>
  <c r="B1394" i="10"/>
  <c r="B1393" i="10"/>
  <c r="B1392" i="10"/>
  <c r="B1391" i="10"/>
  <c r="B1390" i="10"/>
  <c r="B1389" i="10"/>
  <c r="B1388" i="10"/>
  <c r="B1387" i="10"/>
  <c r="B1386" i="10"/>
  <c r="B1385" i="10"/>
  <c r="B1384" i="10"/>
  <c r="B1383" i="10"/>
  <c r="B1382" i="10"/>
  <c r="B1381" i="10"/>
  <c r="B1380" i="10"/>
  <c r="B1379" i="10"/>
  <c r="B1378" i="10"/>
  <c r="B1377" i="10"/>
  <c r="B1376" i="10"/>
  <c r="B1375" i="10"/>
  <c r="B1374" i="10"/>
  <c r="B1373" i="10"/>
  <c r="B1372" i="10"/>
  <c r="B1371" i="10"/>
  <c r="B1370" i="10"/>
  <c r="B1369" i="10"/>
  <c r="B1368" i="10"/>
  <c r="B1367" i="10"/>
  <c r="B1366" i="10"/>
  <c r="B1365" i="10"/>
  <c r="B1364" i="10"/>
  <c r="B1363" i="10"/>
  <c r="B1362" i="10"/>
  <c r="B1361" i="10"/>
  <c r="B1360" i="10"/>
  <c r="B1359" i="10"/>
  <c r="B1358" i="10"/>
  <c r="B1357" i="10"/>
  <c r="B1356" i="10"/>
  <c r="B1355" i="10"/>
  <c r="B1354" i="10"/>
  <c r="B1353" i="10"/>
  <c r="B1352" i="10"/>
  <c r="B1351" i="10"/>
  <c r="B1350" i="10"/>
  <c r="B1349" i="10"/>
  <c r="B1348" i="10"/>
  <c r="B1347" i="10"/>
  <c r="B1346" i="10"/>
  <c r="B1345" i="10"/>
  <c r="B1344" i="10"/>
  <c r="B1343" i="10"/>
  <c r="B1342" i="10"/>
  <c r="B1341" i="10"/>
  <c r="B1340" i="10"/>
  <c r="B1339" i="10"/>
  <c r="B1338" i="10"/>
  <c r="B1337" i="10"/>
  <c r="B1336" i="10"/>
  <c r="B1335" i="10"/>
  <c r="B1334" i="10"/>
  <c r="B1333" i="10"/>
  <c r="B1332" i="10"/>
  <c r="B1331" i="10"/>
  <c r="B1330" i="10"/>
  <c r="B1329" i="10"/>
  <c r="B1328" i="10"/>
  <c r="B1327" i="10"/>
  <c r="B1326" i="10"/>
  <c r="B1325" i="10"/>
  <c r="B1324" i="10"/>
  <c r="B1323" i="10"/>
  <c r="B1322" i="10"/>
  <c r="B1321" i="10"/>
  <c r="B1320" i="10"/>
  <c r="B1319" i="10"/>
  <c r="B1318" i="10"/>
  <c r="B1317" i="10"/>
  <c r="B1316" i="10"/>
  <c r="B1315" i="10"/>
  <c r="B1314" i="10"/>
  <c r="B1313" i="10"/>
  <c r="B1312" i="10"/>
  <c r="B1311" i="10"/>
  <c r="B1310" i="10"/>
  <c r="B1309" i="10"/>
  <c r="B1308" i="10"/>
  <c r="B1307" i="10"/>
  <c r="B1306" i="10"/>
  <c r="B1305" i="10"/>
  <c r="B1304" i="10"/>
  <c r="B1303" i="10"/>
  <c r="B1302" i="10"/>
  <c r="B1301" i="10"/>
  <c r="B1300" i="10"/>
  <c r="B1299" i="10"/>
  <c r="B1298" i="10"/>
  <c r="B1297" i="10"/>
  <c r="B1296" i="10"/>
  <c r="B1295" i="10"/>
  <c r="B1294" i="10"/>
  <c r="B1293" i="10"/>
  <c r="B1292" i="10"/>
  <c r="B1291" i="10"/>
  <c r="B1290" i="10"/>
  <c r="B1289" i="10"/>
  <c r="B1288" i="10"/>
  <c r="B1287" i="10"/>
  <c r="B1286" i="10"/>
  <c r="B1285" i="10"/>
  <c r="B1284" i="10"/>
  <c r="B1283" i="10"/>
  <c r="B1282" i="10"/>
  <c r="B1281" i="10"/>
  <c r="B1280" i="10"/>
  <c r="B1279" i="10"/>
  <c r="B1278" i="10"/>
  <c r="B1277" i="10"/>
  <c r="B1276" i="10"/>
  <c r="B1275" i="10"/>
  <c r="B1274" i="10"/>
  <c r="B1273" i="10"/>
  <c r="B1272" i="10"/>
  <c r="B1271" i="10"/>
  <c r="B1270" i="10"/>
  <c r="B1269" i="10"/>
  <c r="B1268" i="10"/>
  <c r="B1267" i="10"/>
  <c r="B1266" i="10"/>
  <c r="B1265" i="10"/>
  <c r="B1264" i="10"/>
  <c r="B1263" i="10"/>
  <c r="B1262" i="10"/>
  <c r="B1261" i="10"/>
  <c r="B1260" i="10"/>
  <c r="B1259" i="10"/>
  <c r="B1258" i="10"/>
  <c r="B1257" i="10"/>
  <c r="B1256" i="10"/>
  <c r="B1255" i="10"/>
  <c r="B1254" i="10"/>
  <c r="B1253" i="10"/>
  <c r="B1252" i="10"/>
  <c r="B1251" i="10"/>
  <c r="B1250" i="10"/>
  <c r="B1249" i="10"/>
  <c r="B1248" i="10"/>
  <c r="B1247" i="10"/>
  <c r="B1246" i="10"/>
  <c r="B1245" i="10"/>
  <c r="B1244" i="10"/>
  <c r="B1243" i="10"/>
  <c r="B1242" i="10"/>
  <c r="B1241" i="10"/>
  <c r="B1240" i="10"/>
  <c r="B1239" i="10"/>
  <c r="B1238" i="10"/>
  <c r="B1237" i="10"/>
  <c r="B1236" i="10"/>
  <c r="B1235" i="10"/>
  <c r="B1234" i="10"/>
  <c r="B1233" i="10"/>
  <c r="B1232" i="10"/>
  <c r="B1231" i="10"/>
  <c r="B1230" i="10"/>
  <c r="B1229" i="10"/>
  <c r="B1228" i="10"/>
  <c r="B1227" i="10"/>
  <c r="B1226" i="10"/>
  <c r="B1225" i="10"/>
  <c r="B1224" i="10"/>
  <c r="B1223" i="10"/>
  <c r="B1222" i="10"/>
  <c r="B1221" i="10"/>
  <c r="B1220" i="10"/>
  <c r="B1219" i="10"/>
  <c r="B1218" i="10"/>
  <c r="B1217" i="10"/>
  <c r="B1216" i="10"/>
  <c r="B1215" i="10"/>
  <c r="B1214" i="10"/>
  <c r="B1213" i="10"/>
  <c r="B1212" i="10"/>
  <c r="B1211" i="10"/>
  <c r="B1210" i="10"/>
  <c r="B1209" i="10"/>
  <c r="B1208" i="10"/>
  <c r="B1207" i="10"/>
  <c r="B1206" i="10"/>
  <c r="B1205" i="10"/>
  <c r="B1204" i="10"/>
  <c r="B1203" i="10"/>
  <c r="B1202" i="10"/>
  <c r="B1201" i="10"/>
  <c r="B1200" i="10"/>
  <c r="B1199" i="10"/>
  <c r="B1198" i="10"/>
  <c r="B1197" i="10"/>
  <c r="B1196" i="10"/>
  <c r="B1195" i="10"/>
  <c r="B1194" i="10"/>
  <c r="B1193" i="10"/>
  <c r="B1192" i="10"/>
  <c r="B1191" i="10"/>
  <c r="B1190" i="10"/>
  <c r="B1189" i="10"/>
  <c r="B1188" i="10"/>
  <c r="B1187" i="10"/>
  <c r="B1186" i="10"/>
  <c r="B1185" i="10"/>
  <c r="B1184" i="10"/>
  <c r="B1183" i="10"/>
  <c r="B1182" i="10"/>
  <c r="B1181" i="10"/>
  <c r="B1180" i="10"/>
  <c r="B1179" i="10"/>
  <c r="B1178" i="10"/>
  <c r="B1177" i="10"/>
  <c r="B1176" i="10"/>
  <c r="B1175" i="10"/>
  <c r="B1174" i="10"/>
  <c r="B1173" i="10"/>
  <c r="B1172" i="10"/>
  <c r="B1171" i="10"/>
  <c r="B1170" i="10"/>
  <c r="B1169" i="10"/>
  <c r="B1168" i="10"/>
  <c r="B1167" i="10"/>
  <c r="B1166" i="10"/>
  <c r="B1165" i="10"/>
  <c r="B1164" i="10"/>
  <c r="B1163" i="10"/>
  <c r="B1162" i="10"/>
  <c r="B1161" i="10"/>
  <c r="B1160" i="10"/>
  <c r="B1159" i="10"/>
  <c r="B1158" i="10"/>
  <c r="B1157" i="10"/>
  <c r="B1156" i="10"/>
  <c r="B1155" i="10"/>
  <c r="B1154" i="10"/>
  <c r="B1153" i="10"/>
  <c r="B1152" i="10"/>
  <c r="B1151" i="10"/>
  <c r="B1150" i="10"/>
  <c r="B1149" i="10"/>
  <c r="B1148" i="10"/>
  <c r="B1147" i="10"/>
  <c r="B1146" i="10"/>
  <c r="B1145" i="10"/>
  <c r="B1144" i="10"/>
  <c r="B1143" i="10"/>
  <c r="B1142" i="10"/>
  <c r="B1141" i="10"/>
  <c r="B1140" i="10"/>
  <c r="B1139" i="10"/>
  <c r="B1138" i="10"/>
  <c r="B1137" i="10"/>
  <c r="B1136" i="10"/>
  <c r="B1135" i="10"/>
  <c r="B1134" i="10"/>
  <c r="B1133" i="10"/>
  <c r="B1132" i="10"/>
  <c r="B1131" i="10"/>
  <c r="B1130" i="10"/>
  <c r="B1129" i="10"/>
  <c r="B1128" i="10"/>
  <c r="B1127" i="10"/>
  <c r="B1126" i="10"/>
  <c r="B1125" i="10"/>
  <c r="B1124" i="10"/>
  <c r="B1123" i="10"/>
  <c r="B1122" i="10"/>
  <c r="B1121" i="10"/>
  <c r="B1120" i="10"/>
  <c r="B1119" i="10"/>
  <c r="B1118" i="10"/>
  <c r="B1117" i="10"/>
  <c r="B1116" i="10"/>
  <c r="B1115" i="10"/>
  <c r="B1114" i="10"/>
  <c r="B1113" i="10"/>
  <c r="B1112" i="10"/>
  <c r="B1111" i="10"/>
  <c r="B1110" i="10"/>
  <c r="B1109" i="10"/>
  <c r="B1108" i="10"/>
  <c r="B1107" i="10"/>
  <c r="B1106" i="10"/>
  <c r="B1105" i="10"/>
  <c r="B1104" i="10"/>
  <c r="B1103" i="10"/>
  <c r="B1102" i="10"/>
  <c r="B1101" i="10"/>
  <c r="B1100" i="10"/>
  <c r="B1099" i="10"/>
  <c r="B1098" i="10"/>
  <c r="B1097" i="10"/>
  <c r="B1096" i="10"/>
  <c r="B1095" i="10"/>
  <c r="B1094" i="10"/>
  <c r="B1093" i="10"/>
  <c r="B1092" i="10"/>
  <c r="B1091" i="10"/>
  <c r="B1090" i="10"/>
  <c r="B1089" i="10"/>
  <c r="B1088" i="10"/>
  <c r="B1087" i="10"/>
  <c r="B1086" i="10"/>
  <c r="B1085" i="10"/>
  <c r="B1084" i="10"/>
  <c r="B1083" i="10"/>
  <c r="B1082" i="10"/>
  <c r="B1081" i="10"/>
  <c r="B1080" i="10"/>
  <c r="B1079" i="10"/>
  <c r="B1078" i="10"/>
  <c r="B1077" i="10"/>
  <c r="B1076" i="10"/>
  <c r="B1075" i="10"/>
  <c r="B1074" i="10"/>
  <c r="B1073" i="10"/>
  <c r="B1072" i="10"/>
  <c r="B1071" i="10"/>
  <c r="B1070" i="10"/>
  <c r="B1069" i="10"/>
  <c r="B1068" i="10"/>
  <c r="B1067" i="10"/>
  <c r="B1066" i="10"/>
  <c r="B1065" i="10"/>
  <c r="B1064" i="10"/>
  <c r="B1063" i="10"/>
  <c r="B1062" i="10"/>
  <c r="B1061" i="10"/>
  <c r="B1060" i="10"/>
  <c r="B1059" i="10"/>
  <c r="B1058" i="10"/>
  <c r="B1057" i="10"/>
  <c r="B1056" i="10"/>
  <c r="B1055" i="10"/>
  <c r="B1054" i="10"/>
  <c r="B1053" i="10"/>
  <c r="B1052" i="10"/>
  <c r="B1051" i="10"/>
  <c r="B1050" i="10"/>
  <c r="B1049" i="10"/>
  <c r="B1048" i="10"/>
  <c r="B1047" i="10"/>
  <c r="B1046" i="10"/>
  <c r="B1045" i="10"/>
  <c r="B1044" i="10"/>
  <c r="B1043" i="10"/>
  <c r="B1042" i="10"/>
  <c r="B1041" i="10"/>
  <c r="B1040" i="10"/>
  <c r="B1039" i="10"/>
  <c r="B1038" i="10"/>
  <c r="B1037" i="10"/>
  <c r="B1036" i="10"/>
  <c r="B1035" i="10"/>
  <c r="B1034" i="10"/>
  <c r="B1033" i="10"/>
  <c r="B1032" i="10"/>
  <c r="B1031" i="10"/>
  <c r="B1030" i="10"/>
  <c r="B1029" i="10"/>
  <c r="B1028" i="10"/>
  <c r="B1027" i="10"/>
  <c r="B1026" i="10"/>
  <c r="B1025" i="10"/>
  <c r="B1024" i="10"/>
  <c r="B1023" i="10"/>
  <c r="B1022" i="10"/>
  <c r="B1021" i="10"/>
  <c r="B1020" i="10"/>
  <c r="B1019" i="10"/>
  <c r="B1018" i="10"/>
  <c r="B1017" i="10"/>
  <c r="B1016" i="10"/>
  <c r="B1015" i="10"/>
  <c r="B1014" i="10"/>
  <c r="B1013" i="10"/>
  <c r="B1012" i="10"/>
  <c r="B1011" i="10"/>
  <c r="B1010" i="10"/>
  <c r="B1009" i="10"/>
  <c r="B1008" i="10"/>
  <c r="B1007" i="10"/>
  <c r="B1006" i="10"/>
  <c r="B1005" i="10"/>
  <c r="B1004" i="10"/>
  <c r="B1003" i="10"/>
  <c r="B1002" i="10"/>
  <c r="B1001" i="10"/>
  <c r="B1000" i="10"/>
  <c r="B999" i="10"/>
  <c r="B998" i="10"/>
  <c r="B997" i="10"/>
  <c r="B996" i="10"/>
  <c r="B995" i="10"/>
  <c r="B994" i="10"/>
  <c r="B993" i="10"/>
  <c r="B992" i="10"/>
  <c r="B991" i="10"/>
  <c r="B990" i="10"/>
  <c r="B989" i="10"/>
  <c r="B988" i="10"/>
  <c r="B987" i="10"/>
  <c r="B986" i="10"/>
  <c r="B985" i="10"/>
  <c r="B984" i="10"/>
  <c r="B983" i="10"/>
  <c r="B982" i="10"/>
  <c r="B981" i="10"/>
  <c r="B980" i="10"/>
  <c r="B979" i="10"/>
  <c r="B978" i="10"/>
  <c r="B977" i="10"/>
  <c r="B976" i="10"/>
  <c r="B975" i="10"/>
  <c r="B974" i="10"/>
  <c r="B973" i="10"/>
  <c r="B972" i="10"/>
  <c r="B971" i="10"/>
  <c r="B970" i="10"/>
  <c r="B969" i="10"/>
  <c r="B968" i="10"/>
  <c r="B967" i="10"/>
  <c r="B966" i="10"/>
  <c r="B965" i="10"/>
  <c r="B964" i="10"/>
  <c r="B963" i="10"/>
  <c r="B962" i="10"/>
  <c r="B961" i="10"/>
  <c r="B960" i="10"/>
  <c r="B959" i="10"/>
  <c r="B958" i="10"/>
  <c r="B957" i="10"/>
  <c r="B956" i="10"/>
  <c r="B955" i="10"/>
  <c r="B954" i="10"/>
  <c r="B953" i="10"/>
  <c r="B952" i="10"/>
  <c r="B951" i="10"/>
  <c r="B950" i="10"/>
  <c r="B949" i="10"/>
  <c r="B948" i="10"/>
  <c r="B947" i="10"/>
  <c r="B946" i="10"/>
  <c r="B945" i="10"/>
  <c r="B944" i="10"/>
  <c r="B943" i="10"/>
  <c r="B942" i="10"/>
  <c r="B941" i="10"/>
  <c r="B940" i="10"/>
  <c r="B939" i="10"/>
  <c r="B938" i="10"/>
  <c r="B937" i="10"/>
  <c r="B936" i="10"/>
  <c r="B935" i="10"/>
  <c r="B934" i="10"/>
  <c r="B933" i="10"/>
  <c r="B932" i="10"/>
  <c r="B931" i="10"/>
  <c r="B930" i="10"/>
  <c r="B929" i="10"/>
  <c r="B928" i="10"/>
  <c r="B927" i="10"/>
  <c r="B926" i="10"/>
  <c r="B925" i="10"/>
  <c r="B924" i="10"/>
  <c r="B923" i="10"/>
  <c r="B922" i="10"/>
  <c r="B921" i="10"/>
  <c r="B920" i="10"/>
  <c r="B919" i="10"/>
  <c r="B918" i="10"/>
  <c r="B917" i="10"/>
  <c r="B916" i="10"/>
  <c r="B915" i="10"/>
  <c r="B914" i="10"/>
  <c r="B913" i="10"/>
  <c r="B912" i="10"/>
  <c r="B911" i="10"/>
  <c r="B910" i="10"/>
  <c r="B909" i="10"/>
  <c r="B908" i="10"/>
  <c r="B907" i="10"/>
  <c r="B906" i="10"/>
  <c r="B905" i="10"/>
  <c r="B904" i="10"/>
  <c r="B903" i="10"/>
  <c r="B902" i="10"/>
  <c r="B901" i="10"/>
  <c r="B900" i="10"/>
  <c r="B899" i="10"/>
  <c r="B898" i="10"/>
  <c r="B897" i="10"/>
  <c r="B896" i="10"/>
  <c r="B895" i="10"/>
  <c r="B894" i="10"/>
  <c r="B893" i="10"/>
  <c r="B892" i="10"/>
  <c r="B891" i="10"/>
  <c r="B890" i="10"/>
  <c r="B889" i="10"/>
  <c r="B888" i="10"/>
  <c r="B887" i="10"/>
  <c r="B886" i="10"/>
  <c r="B885" i="10"/>
  <c r="B884" i="10"/>
  <c r="B883" i="10"/>
  <c r="B882" i="10"/>
  <c r="B881" i="10"/>
  <c r="B880" i="10"/>
  <c r="B879" i="10"/>
  <c r="B878" i="10"/>
  <c r="B877" i="10"/>
  <c r="B876" i="10"/>
  <c r="B875" i="10"/>
  <c r="B874" i="10"/>
  <c r="B873" i="10"/>
  <c r="B872" i="10"/>
  <c r="B871" i="10"/>
  <c r="B870" i="10"/>
  <c r="B869" i="10"/>
  <c r="B868" i="10"/>
  <c r="B867" i="10"/>
  <c r="B866" i="10"/>
  <c r="B865" i="10"/>
  <c r="B864" i="10"/>
  <c r="B863" i="10"/>
  <c r="B862" i="10"/>
  <c r="B861" i="10"/>
  <c r="B860" i="10"/>
  <c r="B859" i="10"/>
  <c r="B858" i="10"/>
  <c r="B857" i="10"/>
  <c r="B856" i="10"/>
  <c r="B855" i="10"/>
  <c r="B854" i="10"/>
  <c r="B853" i="10"/>
  <c r="B852" i="10"/>
  <c r="B851" i="10"/>
  <c r="B850" i="10"/>
  <c r="B849" i="10"/>
  <c r="B848" i="10"/>
  <c r="B847" i="10"/>
  <c r="B846" i="10"/>
  <c r="B845" i="10"/>
  <c r="B844" i="10"/>
  <c r="B843" i="10"/>
  <c r="B842" i="10"/>
  <c r="B841" i="10"/>
  <c r="B840" i="10"/>
  <c r="B839" i="10"/>
  <c r="B838" i="10"/>
  <c r="B837" i="10"/>
  <c r="B836" i="10"/>
  <c r="B835" i="10"/>
  <c r="B834" i="10"/>
  <c r="B833" i="10"/>
  <c r="B832" i="10"/>
  <c r="B831" i="10"/>
  <c r="B830" i="10"/>
  <c r="B829" i="10"/>
  <c r="B828" i="10"/>
  <c r="B827" i="10"/>
  <c r="B826" i="10"/>
  <c r="B825" i="10"/>
  <c r="B824" i="10"/>
  <c r="B823" i="10"/>
  <c r="B822" i="10"/>
  <c r="B821" i="10"/>
  <c r="B820" i="10"/>
  <c r="B819" i="10"/>
  <c r="B818" i="10"/>
  <c r="B817" i="10"/>
  <c r="B816" i="10"/>
  <c r="B815" i="10"/>
  <c r="B814" i="10"/>
  <c r="B813" i="10"/>
  <c r="B812" i="10"/>
  <c r="B811" i="10"/>
  <c r="B810" i="10"/>
  <c r="B809" i="10"/>
  <c r="B808" i="10"/>
  <c r="B807" i="10"/>
  <c r="B806" i="10"/>
  <c r="B805" i="10"/>
  <c r="B804" i="10"/>
  <c r="B803" i="10"/>
  <c r="B802" i="10"/>
  <c r="B801" i="10"/>
  <c r="B800" i="10"/>
  <c r="B799" i="10"/>
  <c r="B798" i="10"/>
  <c r="B797" i="10"/>
  <c r="B796" i="10"/>
  <c r="B795" i="10"/>
  <c r="B794" i="10"/>
  <c r="B793" i="10"/>
  <c r="B792" i="10"/>
  <c r="B791" i="10"/>
  <c r="B790" i="10"/>
  <c r="B789" i="10"/>
  <c r="B788" i="10"/>
  <c r="B787" i="10"/>
  <c r="B786" i="10"/>
  <c r="B785" i="10"/>
  <c r="B784" i="10"/>
  <c r="B783" i="10"/>
  <c r="B782" i="10"/>
  <c r="B781" i="10"/>
  <c r="B780" i="10"/>
  <c r="B779" i="10"/>
  <c r="B778" i="10"/>
  <c r="B777" i="10"/>
  <c r="B776" i="10"/>
  <c r="B775" i="10"/>
  <c r="B774" i="10"/>
  <c r="B773" i="10"/>
  <c r="B772" i="10"/>
  <c r="B771" i="10"/>
  <c r="B770" i="10"/>
  <c r="B769" i="10"/>
  <c r="B768" i="10"/>
  <c r="B767" i="10"/>
  <c r="B766" i="10"/>
  <c r="B765" i="10"/>
  <c r="B764" i="10"/>
  <c r="B763" i="10"/>
  <c r="B762" i="10"/>
  <c r="B761" i="10"/>
  <c r="B760" i="10"/>
  <c r="B759" i="10"/>
  <c r="B758" i="10"/>
  <c r="B757" i="10"/>
  <c r="B756" i="10"/>
  <c r="B755" i="10"/>
  <c r="B754" i="10"/>
  <c r="B753" i="10"/>
  <c r="B752" i="10"/>
  <c r="B751" i="10"/>
  <c r="B750" i="10"/>
  <c r="B749" i="10"/>
  <c r="B748" i="10"/>
  <c r="B747" i="10"/>
  <c r="B746" i="10"/>
  <c r="B745" i="10"/>
  <c r="B744" i="10"/>
  <c r="B743" i="10"/>
  <c r="B742" i="10"/>
  <c r="B741" i="10"/>
  <c r="B740" i="10"/>
  <c r="B739" i="10"/>
  <c r="B738" i="10"/>
  <c r="B737" i="10"/>
  <c r="B736" i="10"/>
  <c r="B735" i="10"/>
  <c r="B734" i="10"/>
  <c r="B733" i="10"/>
  <c r="B732" i="10"/>
  <c r="B731" i="10"/>
  <c r="B730" i="10"/>
  <c r="B729" i="10"/>
  <c r="B728" i="10"/>
  <c r="B727" i="10"/>
  <c r="B726" i="10"/>
  <c r="B725" i="10"/>
  <c r="B724" i="10"/>
  <c r="B723" i="10"/>
  <c r="B722" i="10"/>
  <c r="B721" i="10"/>
  <c r="B720" i="10"/>
  <c r="B719" i="10"/>
  <c r="B718" i="10"/>
  <c r="B717" i="10"/>
  <c r="B716" i="10"/>
  <c r="B715" i="10"/>
  <c r="B714" i="10"/>
  <c r="B713" i="10"/>
  <c r="B712" i="10"/>
  <c r="B711" i="10"/>
  <c r="B710" i="10"/>
  <c r="B709" i="10"/>
  <c r="B708" i="10"/>
  <c r="B707" i="10"/>
  <c r="B706" i="10"/>
  <c r="B705" i="10"/>
  <c r="B704" i="10"/>
  <c r="B703" i="10"/>
  <c r="B702" i="10"/>
  <c r="B701" i="10"/>
  <c r="B700" i="10"/>
  <c r="B699" i="10"/>
  <c r="B698" i="10"/>
  <c r="B697" i="10"/>
  <c r="B696" i="10"/>
  <c r="B695" i="10"/>
  <c r="B694" i="10"/>
  <c r="B693" i="10"/>
  <c r="B692" i="10"/>
  <c r="B691" i="10"/>
  <c r="B690" i="10"/>
  <c r="B689" i="10"/>
  <c r="B688" i="10"/>
  <c r="B687" i="10"/>
  <c r="B686" i="10"/>
  <c r="B685" i="10"/>
  <c r="B684" i="10"/>
  <c r="B683" i="10"/>
  <c r="B682" i="10"/>
  <c r="B681" i="10"/>
  <c r="B680" i="10"/>
  <c r="B679" i="10"/>
  <c r="B678" i="10"/>
  <c r="B677" i="10"/>
  <c r="B676" i="10"/>
  <c r="B675" i="10"/>
  <c r="B674" i="10"/>
  <c r="B673" i="10"/>
  <c r="B672" i="10"/>
  <c r="B671" i="10"/>
  <c r="B670" i="10"/>
  <c r="B669" i="10"/>
  <c r="B668" i="10"/>
  <c r="B667" i="10"/>
  <c r="B666" i="10"/>
  <c r="B665" i="10"/>
  <c r="B664" i="10"/>
  <c r="B663" i="10"/>
  <c r="B662" i="10"/>
  <c r="B661" i="10"/>
  <c r="B660" i="10"/>
  <c r="B659" i="10"/>
  <c r="B658" i="10"/>
  <c r="B657" i="10"/>
  <c r="B656" i="10"/>
  <c r="B655" i="10"/>
  <c r="B654" i="10"/>
  <c r="B653" i="10"/>
  <c r="B652" i="10"/>
  <c r="B651" i="10"/>
  <c r="B650" i="10"/>
  <c r="B649" i="10"/>
  <c r="B648" i="10"/>
  <c r="B647" i="10"/>
  <c r="B646" i="10"/>
  <c r="B645" i="10"/>
  <c r="B644" i="10"/>
  <c r="B643" i="10"/>
  <c r="B642" i="10"/>
  <c r="B641" i="10"/>
  <c r="B640" i="10"/>
  <c r="B639" i="10"/>
  <c r="B638" i="10"/>
  <c r="B637" i="10"/>
  <c r="B636" i="10"/>
  <c r="B635" i="10"/>
  <c r="B634" i="10"/>
  <c r="B633" i="10"/>
  <c r="B632" i="10"/>
  <c r="B631" i="10"/>
  <c r="B630" i="10"/>
  <c r="B629" i="10"/>
  <c r="B628" i="10"/>
  <c r="B627" i="10"/>
  <c r="B626" i="10"/>
  <c r="B625" i="10"/>
  <c r="B624" i="10"/>
  <c r="B623" i="10"/>
  <c r="B622" i="10"/>
  <c r="B621" i="10"/>
  <c r="B620" i="10"/>
  <c r="B619" i="10"/>
  <c r="B618" i="10"/>
  <c r="B617" i="10"/>
  <c r="B616" i="10"/>
  <c r="B615" i="10"/>
  <c r="B614" i="10"/>
  <c r="B613" i="10"/>
  <c r="B612" i="10"/>
  <c r="B611" i="10"/>
  <c r="B610" i="10"/>
  <c r="B609" i="10"/>
  <c r="B608" i="10"/>
  <c r="B607" i="10"/>
  <c r="B606" i="10"/>
  <c r="B605" i="10"/>
  <c r="B604" i="10"/>
  <c r="B603" i="10"/>
  <c r="B602" i="10"/>
  <c r="B601" i="10"/>
  <c r="B600" i="10"/>
  <c r="B599" i="10"/>
  <c r="B598" i="10"/>
  <c r="B597" i="10"/>
  <c r="B596" i="10"/>
  <c r="B595" i="10"/>
  <c r="B594" i="10"/>
  <c r="B593" i="10"/>
  <c r="B592" i="10"/>
  <c r="B591" i="10"/>
  <c r="B590" i="10"/>
  <c r="B589" i="10"/>
  <c r="B588" i="10"/>
  <c r="B587" i="10"/>
  <c r="B586" i="10"/>
  <c r="B585" i="10"/>
  <c r="B584" i="10"/>
  <c r="B583" i="10"/>
  <c r="B582" i="10"/>
  <c r="B581" i="10"/>
  <c r="B580" i="10"/>
  <c r="B579" i="10"/>
  <c r="B578" i="10"/>
  <c r="B577" i="10"/>
  <c r="B576" i="10"/>
  <c r="B575" i="10"/>
  <c r="B574" i="10"/>
  <c r="B573" i="10"/>
  <c r="B572" i="10"/>
  <c r="B571" i="10"/>
  <c r="B570" i="10"/>
  <c r="B569" i="10"/>
  <c r="B568" i="10"/>
  <c r="B567" i="10"/>
  <c r="B566" i="10"/>
  <c r="B565" i="10"/>
  <c r="B564" i="10"/>
  <c r="B563" i="10"/>
  <c r="B562" i="10"/>
  <c r="B561" i="10"/>
  <c r="B560" i="10"/>
  <c r="B559" i="10"/>
  <c r="B558" i="10"/>
  <c r="B557" i="10"/>
  <c r="B556" i="10"/>
  <c r="B555" i="10"/>
  <c r="B554" i="10"/>
  <c r="B553" i="10"/>
  <c r="B552" i="10"/>
  <c r="B551" i="10"/>
  <c r="B550" i="10"/>
  <c r="B549" i="10"/>
  <c r="B548" i="10"/>
  <c r="B547" i="10"/>
  <c r="B546" i="10"/>
  <c r="B545" i="10"/>
  <c r="B544" i="10"/>
  <c r="B543" i="10"/>
  <c r="B542" i="10"/>
  <c r="B541" i="10"/>
  <c r="B540" i="10"/>
  <c r="B539" i="10"/>
  <c r="B538" i="10"/>
  <c r="B537" i="10"/>
  <c r="B536" i="10"/>
  <c r="B535" i="10"/>
  <c r="B534" i="10"/>
  <c r="B533" i="10"/>
  <c r="B532" i="10"/>
  <c r="B531" i="10"/>
  <c r="B530" i="10"/>
  <c r="B529" i="10"/>
  <c r="B528" i="10"/>
  <c r="B527" i="10"/>
  <c r="B526" i="10"/>
  <c r="B525" i="10"/>
  <c r="B524" i="10"/>
  <c r="B523" i="10"/>
  <c r="B522" i="10"/>
  <c r="B521" i="10"/>
  <c r="B520" i="10"/>
  <c r="B519" i="10"/>
  <c r="B518" i="10"/>
  <c r="B517" i="10"/>
  <c r="B516" i="10"/>
  <c r="B515" i="10"/>
  <c r="B514" i="10"/>
  <c r="B513" i="10"/>
  <c r="B512" i="10"/>
  <c r="B511" i="10"/>
  <c r="B510" i="10"/>
  <c r="B509" i="10"/>
  <c r="B508" i="10"/>
  <c r="B507" i="10"/>
  <c r="B506" i="10"/>
  <c r="B505" i="10"/>
  <c r="B504" i="10"/>
  <c r="B503" i="10"/>
  <c r="B502" i="10"/>
  <c r="B501" i="10"/>
  <c r="B500" i="10"/>
  <c r="B499" i="10"/>
  <c r="B498" i="10"/>
  <c r="B497" i="10"/>
  <c r="B496" i="10"/>
  <c r="B495" i="10"/>
  <c r="B494" i="10"/>
  <c r="B493" i="10"/>
  <c r="B492" i="10"/>
  <c r="B491" i="10"/>
  <c r="B490" i="10"/>
  <c r="B489" i="10"/>
  <c r="B488" i="10"/>
  <c r="B487" i="10"/>
  <c r="B486" i="10"/>
  <c r="B485" i="10"/>
  <c r="B484" i="10"/>
  <c r="B483" i="10"/>
  <c r="B482" i="10"/>
  <c r="B481" i="10"/>
  <c r="B480" i="10"/>
  <c r="B479" i="10"/>
  <c r="B478" i="10"/>
  <c r="B477" i="10"/>
  <c r="B476" i="10"/>
  <c r="B475" i="10"/>
  <c r="B474" i="10"/>
  <c r="B473" i="10"/>
  <c r="B472" i="10"/>
  <c r="B471" i="10"/>
  <c r="B470" i="10"/>
  <c r="B469" i="10"/>
  <c r="B468" i="10"/>
  <c r="B467" i="10"/>
  <c r="B466" i="10"/>
  <c r="B465" i="10"/>
  <c r="B464" i="10"/>
  <c r="B463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J27" i="10"/>
  <c r="B27" i="10"/>
  <c r="J26" i="10"/>
  <c r="B26" i="10"/>
  <c r="J25" i="10"/>
  <c r="B25" i="10"/>
  <c r="B24" i="10"/>
  <c r="B23" i="10"/>
  <c r="B22" i="10"/>
  <c r="B21" i="10"/>
  <c r="J20" i="10"/>
  <c r="B20" i="10"/>
  <c r="B19" i="10"/>
  <c r="B18" i="10"/>
  <c r="B17" i="10"/>
  <c r="B16" i="10"/>
  <c r="B15" i="10"/>
  <c r="B14" i="10"/>
  <c r="J13" i="10"/>
  <c r="J15" i="10" s="1"/>
  <c r="B13" i="10"/>
  <c r="B12" i="10"/>
  <c r="B11" i="10"/>
  <c r="B10" i="10"/>
  <c r="B9" i="10"/>
  <c r="B8" i="10"/>
  <c r="B7" i="10"/>
  <c r="B6" i="10"/>
  <c r="B5" i="10"/>
  <c r="B4" i="10"/>
  <c r="B2445" i="8"/>
  <c r="B2444" i="8"/>
  <c r="B2443" i="8"/>
  <c r="B2442" i="8"/>
  <c r="B2441" i="8"/>
  <c r="B2440" i="8"/>
  <c r="B2439" i="8"/>
  <c r="B2438" i="8"/>
  <c r="B2437" i="8"/>
  <c r="B2436" i="8"/>
  <c r="B2435" i="8"/>
  <c r="B2434" i="8"/>
  <c r="B2433" i="8"/>
  <c r="B2432" i="8"/>
  <c r="B2431" i="8"/>
  <c r="B2430" i="8"/>
  <c r="B2429" i="8"/>
  <c r="B2428" i="8"/>
  <c r="B2427" i="8"/>
  <c r="B2426" i="8"/>
  <c r="B2425" i="8"/>
  <c r="B2424" i="8"/>
  <c r="B2423" i="8"/>
  <c r="B2422" i="8"/>
  <c r="B2421" i="8"/>
  <c r="B2420" i="8"/>
  <c r="B2419" i="8"/>
  <c r="B2418" i="8"/>
  <c r="B2417" i="8"/>
  <c r="B2416" i="8"/>
  <c r="B2415" i="8"/>
  <c r="B2414" i="8"/>
  <c r="B2413" i="8"/>
  <c r="B2412" i="8"/>
  <c r="B2411" i="8"/>
  <c r="B2410" i="8"/>
  <c r="B2409" i="8"/>
  <c r="B2408" i="8"/>
  <c r="B2407" i="8"/>
  <c r="B2406" i="8"/>
  <c r="B2405" i="8"/>
  <c r="B2404" i="8"/>
  <c r="B2403" i="8"/>
  <c r="B2402" i="8"/>
  <c r="B2401" i="8"/>
  <c r="B2400" i="8"/>
  <c r="B2399" i="8"/>
  <c r="B2398" i="8"/>
  <c r="B2397" i="8"/>
  <c r="B2396" i="8"/>
  <c r="B2395" i="8"/>
  <c r="B2394" i="8"/>
  <c r="B2393" i="8"/>
  <c r="B2392" i="8"/>
  <c r="B2391" i="8"/>
  <c r="B2390" i="8"/>
  <c r="B2389" i="8"/>
  <c r="B2388" i="8"/>
  <c r="B2387" i="8"/>
  <c r="B2386" i="8"/>
  <c r="B2385" i="8"/>
  <c r="B2384" i="8"/>
  <c r="B2383" i="8"/>
  <c r="B2382" i="8"/>
  <c r="B2381" i="8"/>
  <c r="B2380" i="8"/>
  <c r="B2379" i="8"/>
  <c r="B2378" i="8"/>
  <c r="B2377" i="8"/>
  <c r="B2376" i="8"/>
  <c r="B2375" i="8"/>
  <c r="B2374" i="8"/>
  <c r="B2373" i="8"/>
  <c r="B2372" i="8"/>
  <c r="B2371" i="8"/>
  <c r="B2370" i="8"/>
  <c r="B2369" i="8"/>
  <c r="B2368" i="8"/>
  <c r="B2367" i="8"/>
  <c r="B2366" i="8"/>
  <c r="B2365" i="8"/>
  <c r="B2364" i="8"/>
  <c r="B2363" i="8"/>
  <c r="B2362" i="8"/>
  <c r="B2361" i="8"/>
  <c r="B2360" i="8"/>
  <c r="B2359" i="8"/>
  <c r="B2358" i="8"/>
  <c r="B2357" i="8"/>
  <c r="B2356" i="8"/>
  <c r="B2355" i="8"/>
  <c r="B2354" i="8"/>
  <c r="B2353" i="8"/>
  <c r="B2352" i="8"/>
  <c r="B2351" i="8"/>
  <c r="B2350" i="8"/>
  <c r="B2349" i="8"/>
  <c r="B2348" i="8"/>
  <c r="B2347" i="8"/>
  <c r="B2346" i="8"/>
  <c r="B2345" i="8"/>
  <c r="B2344" i="8"/>
  <c r="B2343" i="8"/>
  <c r="B2342" i="8"/>
  <c r="B2341" i="8"/>
  <c r="B2340" i="8"/>
  <c r="B2339" i="8"/>
  <c r="B2338" i="8"/>
  <c r="B2337" i="8"/>
  <c r="B2336" i="8"/>
  <c r="B2335" i="8"/>
  <c r="B2334" i="8"/>
  <c r="B2333" i="8"/>
  <c r="B2332" i="8"/>
  <c r="B2331" i="8"/>
  <c r="B2330" i="8"/>
  <c r="B2329" i="8"/>
  <c r="B2328" i="8"/>
  <c r="B2327" i="8"/>
  <c r="B2326" i="8"/>
  <c r="B2325" i="8"/>
  <c r="B2324" i="8"/>
  <c r="B2323" i="8"/>
  <c r="B2322" i="8"/>
  <c r="B2321" i="8"/>
  <c r="B2320" i="8"/>
  <c r="B2319" i="8"/>
  <c r="B2318" i="8"/>
  <c r="B2317" i="8"/>
  <c r="B2316" i="8"/>
  <c r="B2315" i="8"/>
  <c r="B2314" i="8"/>
  <c r="B2313" i="8"/>
  <c r="B2312" i="8"/>
  <c r="B2311" i="8"/>
  <c r="B2310" i="8"/>
  <c r="B2309" i="8"/>
  <c r="B2308" i="8"/>
  <c r="B2307" i="8"/>
  <c r="B2306" i="8"/>
  <c r="B2305" i="8"/>
  <c r="B2304" i="8"/>
  <c r="B2303" i="8"/>
  <c r="B2302" i="8"/>
  <c r="B2301" i="8"/>
  <c r="B2300" i="8"/>
  <c r="B2299" i="8"/>
  <c r="B2298" i="8"/>
  <c r="B2297" i="8"/>
  <c r="B2296" i="8"/>
  <c r="B2295" i="8"/>
  <c r="B2294" i="8"/>
  <c r="B2293" i="8"/>
  <c r="B2292" i="8"/>
  <c r="B2291" i="8"/>
  <c r="B2290" i="8"/>
  <c r="B2289" i="8"/>
  <c r="B2288" i="8"/>
  <c r="B2287" i="8"/>
  <c r="B2286" i="8"/>
  <c r="B2285" i="8"/>
  <c r="B2284" i="8"/>
  <c r="B2283" i="8"/>
  <c r="B2282" i="8"/>
  <c r="B2281" i="8"/>
  <c r="B2280" i="8"/>
  <c r="B2279" i="8"/>
  <c r="B2278" i="8"/>
  <c r="B2277" i="8"/>
  <c r="B2276" i="8"/>
  <c r="B2275" i="8"/>
  <c r="B2274" i="8"/>
  <c r="B2273" i="8"/>
  <c r="B2272" i="8"/>
  <c r="B2271" i="8"/>
  <c r="B2270" i="8"/>
  <c r="B2269" i="8"/>
  <c r="B2268" i="8"/>
  <c r="B2267" i="8"/>
  <c r="B2266" i="8"/>
  <c r="B2265" i="8"/>
  <c r="B2264" i="8"/>
  <c r="B2263" i="8"/>
  <c r="B2262" i="8"/>
  <c r="B2261" i="8"/>
  <c r="B2260" i="8"/>
  <c r="B2259" i="8"/>
  <c r="B2258" i="8"/>
  <c r="B2257" i="8"/>
  <c r="B2256" i="8"/>
  <c r="B2255" i="8"/>
  <c r="B2254" i="8"/>
  <c r="B2253" i="8"/>
  <c r="B2252" i="8"/>
  <c r="B2251" i="8"/>
  <c r="B2250" i="8"/>
  <c r="B2249" i="8"/>
  <c r="B2248" i="8"/>
  <c r="B2247" i="8"/>
  <c r="B2246" i="8"/>
  <c r="B2245" i="8"/>
  <c r="B2244" i="8"/>
  <c r="B2243" i="8"/>
  <c r="B2242" i="8"/>
  <c r="B2241" i="8"/>
  <c r="B2240" i="8"/>
  <c r="B2239" i="8"/>
  <c r="B2238" i="8"/>
  <c r="B2237" i="8"/>
  <c r="B2236" i="8"/>
  <c r="B2235" i="8"/>
  <c r="B2234" i="8"/>
  <c r="B2233" i="8"/>
  <c r="B2232" i="8"/>
  <c r="B2231" i="8"/>
  <c r="B2230" i="8"/>
  <c r="B2229" i="8"/>
  <c r="B2228" i="8"/>
  <c r="B2227" i="8"/>
  <c r="B2226" i="8"/>
  <c r="B2225" i="8"/>
  <c r="B2224" i="8"/>
  <c r="B2223" i="8"/>
  <c r="B2222" i="8"/>
  <c r="B2221" i="8"/>
  <c r="B2220" i="8"/>
  <c r="B2219" i="8"/>
  <c r="B2218" i="8"/>
  <c r="B2217" i="8"/>
  <c r="B2216" i="8"/>
  <c r="B2215" i="8"/>
  <c r="B2214" i="8"/>
  <c r="B2213" i="8"/>
  <c r="B2212" i="8"/>
  <c r="B2211" i="8"/>
  <c r="B2210" i="8"/>
  <c r="B2209" i="8"/>
  <c r="B2208" i="8"/>
  <c r="B2207" i="8"/>
  <c r="B2206" i="8"/>
  <c r="B2205" i="8"/>
  <c r="B2204" i="8"/>
  <c r="B2203" i="8"/>
  <c r="B2202" i="8"/>
  <c r="B2201" i="8"/>
  <c r="B2200" i="8"/>
  <c r="B2199" i="8"/>
  <c r="B2198" i="8"/>
  <c r="B2197" i="8"/>
  <c r="B2196" i="8"/>
  <c r="B2195" i="8"/>
  <c r="B2194" i="8"/>
  <c r="B2193" i="8"/>
  <c r="B2192" i="8"/>
  <c r="B2191" i="8"/>
  <c r="B2190" i="8"/>
  <c r="B2189" i="8"/>
  <c r="B2188" i="8"/>
  <c r="B2187" i="8"/>
  <c r="B2186" i="8"/>
  <c r="B2185" i="8"/>
  <c r="B2184" i="8"/>
  <c r="B2183" i="8"/>
  <c r="B2182" i="8"/>
  <c r="B2181" i="8"/>
  <c r="B2180" i="8"/>
  <c r="B2179" i="8"/>
  <c r="B2178" i="8"/>
  <c r="B2177" i="8"/>
  <c r="B2176" i="8"/>
  <c r="B2175" i="8"/>
  <c r="B2174" i="8"/>
  <c r="B2173" i="8"/>
  <c r="B2172" i="8"/>
  <c r="B2171" i="8"/>
  <c r="B2170" i="8"/>
  <c r="B2169" i="8"/>
  <c r="B2168" i="8"/>
  <c r="B2167" i="8"/>
  <c r="B2166" i="8"/>
  <c r="B2165" i="8"/>
  <c r="B2164" i="8"/>
  <c r="B2163" i="8"/>
  <c r="B2162" i="8"/>
  <c r="B2161" i="8"/>
  <c r="B2160" i="8"/>
  <c r="B2159" i="8"/>
  <c r="B2158" i="8"/>
  <c r="B2157" i="8"/>
  <c r="B2156" i="8"/>
  <c r="B2155" i="8"/>
  <c r="B2154" i="8"/>
  <c r="B2153" i="8"/>
  <c r="B2152" i="8"/>
  <c r="B2151" i="8"/>
  <c r="B2150" i="8"/>
  <c r="B2149" i="8"/>
  <c r="B2148" i="8"/>
  <c r="B2147" i="8"/>
  <c r="B2146" i="8"/>
  <c r="B2145" i="8"/>
  <c r="B2144" i="8"/>
  <c r="B2143" i="8"/>
  <c r="B2142" i="8"/>
  <c r="B2141" i="8"/>
  <c r="B2140" i="8"/>
  <c r="B2139" i="8"/>
  <c r="B2138" i="8"/>
  <c r="B2137" i="8"/>
  <c r="B2136" i="8"/>
  <c r="B2135" i="8"/>
  <c r="B2134" i="8"/>
  <c r="B2133" i="8"/>
  <c r="B2132" i="8"/>
  <c r="B2131" i="8"/>
  <c r="B2130" i="8"/>
  <c r="B2129" i="8"/>
  <c r="B2128" i="8"/>
  <c r="B2127" i="8"/>
  <c r="B2126" i="8"/>
  <c r="B2125" i="8"/>
  <c r="B2124" i="8"/>
  <c r="B2123" i="8"/>
  <c r="B2122" i="8"/>
  <c r="B2121" i="8"/>
  <c r="B2120" i="8"/>
  <c r="B2119" i="8"/>
  <c r="B2118" i="8"/>
  <c r="B2117" i="8"/>
  <c r="B2116" i="8"/>
  <c r="B2115" i="8"/>
  <c r="B2114" i="8"/>
  <c r="B2113" i="8"/>
  <c r="B2112" i="8"/>
  <c r="B2111" i="8"/>
  <c r="B2110" i="8"/>
  <c r="B2109" i="8"/>
  <c r="B2108" i="8"/>
  <c r="B2107" i="8"/>
  <c r="B2106" i="8"/>
  <c r="B2105" i="8"/>
  <c r="B2104" i="8"/>
  <c r="B2103" i="8"/>
  <c r="B2102" i="8"/>
  <c r="B2101" i="8"/>
  <c r="B2100" i="8"/>
  <c r="B2099" i="8"/>
  <c r="B2098" i="8"/>
  <c r="B2097" i="8"/>
  <c r="B2096" i="8"/>
  <c r="B2095" i="8"/>
  <c r="B2094" i="8"/>
  <c r="B2093" i="8"/>
  <c r="B2092" i="8"/>
  <c r="B2091" i="8"/>
  <c r="B2090" i="8"/>
  <c r="B2089" i="8"/>
  <c r="B2088" i="8"/>
  <c r="B2087" i="8"/>
  <c r="B2086" i="8"/>
  <c r="B2085" i="8"/>
  <c r="B2084" i="8"/>
  <c r="B2083" i="8"/>
  <c r="B2082" i="8"/>
  <c r="B2081" i="8"/>
  <c r="B2080" i="8"/>
  <c r="B2079" i="8"/>
  <c r="B2078" i="8"/>
  <c r="B2077" i="8"/>
  <c r="B2076" i="8"/>
  <c r="B2075" i="8"/>
  <c r="B2074" i="8"/>
  <c r="B2073" i="8"/>
  <c r="B2072" i="8"/>
  <c r="B2071" i="8"/>
  <c r="B2070" i="8"/>
  <c r="B2069" i="8"/>
  <c r="B2068" i="8"/>
  <c r="B2067" i="8"/>
  <c r="B2066" i="8"/>
  <c r="B2065" i="8"/>
  <c r="B2064" i="8"/>
  <c r="B2063" i="8"/>
  <c r="B2062" i="8"/>
  <c r="B2061" i="8"/>
  <c r="B2060" i="8"/>
  <c r="B2059" i="8"/>
  <c r="B2058" i="8"/>
  <c r="B2057" i="8"/>
  <c r="B2056" i="8"/>
  <c r="B2055" i="8"/>
  <c r="B2054" i="8"/>
  <c r="B2053" i="8"/>
  <c r="B2052" i="8"/>
  <c r="B2051" i="8"/>
  <c r="B2050" i="8"/>
  <c r="B2049" i="8"/>
  <c r="B2048" i="8"/>
  <c r="B2047" i="8"/>
  <c r="B2046" i="8"/>
  <c r="B2045" i="8"/>
  <c r="B2044" i="8"/>
  <c r="B2043" i="8"/>
  <c r="B2042" i="8"/>
  <c r="B2041" i="8"/>
  <c r="B2040" i="8"/>
  <c r="B2039" i="8"/>
  <c r="B2038" i="8"/>
  <c r="B2037" i="8"/>
  <c r="B2036" i="8"/>
  <c r="B2035" i="8"/>
  <c r="B2034" i="8"/>
  <c r="B2033" i="8"/>
  <c r="B2032" i="8"/>
  <c r="B2031" i="8"/>
  <c r="B2030" i="8"/>
  <c r="B2029" i="8"/>
  <c r="B2028" i="8"/>
  <c r="B2027" i="8"/>
  <c r="B2026" i="8"/>
  <c r="B2025" i="8"/>
  <c r="B2024" i="8"/>
  <c r="B2023" i="8"/>
  <c r="B2022" i="8"/>
  <c r="B2021" i="8"/>
  <c r="B2020" i="8"/>
  <c r="B2019" i="8"/>
  <c r="B2018" i="8"/>
  <c r="B2017" i="8"/>
  <c r="B2016" i="8"/>
  <c r="B2015" i="8"/>
  <c r="B2014" i="8"/>
  <c r="B2013" i="8"/>
  <c r="B2012" i="8"/>
  <c r="B2011" i="8"/>
  <c r="B2010" i="8"/>
  <c r="B2009" i="8"/>
  <c r="B2008" i="8"/>
  <c r="B2007" i="8"/>
  <c r="B2006" i="8"/>
  <c r="B2005" i="8"/>
  <c r="B2004" i="8"/>
  <c r="B2003" i="8"/>
  <c r="B2002" i="8"/>
  <c r="B2001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J27" i="8"/>
  <c r="B27" i="8"/>
  <c r="J26" i="8"/>
  <c r="B26" i="8"/>
  <c r="J25" i="8"/>
  <c r="B25" i="8"/>
  <c r="B24" i="8"/>
  <c r="B23" i="8"/>
  <c r="B22" i="8"/>
  <c r="B21" i="8"/>
  <c r="J20" i="8"/>
  <c r="B20" i="8"/>
  <c r="B19" i="8"/>
  <c r="B18" i="8"/>
  <c r="B17" i="8"/>
  <c r="B16" i="8"/>
  <c r="B15" i="8"/>
  <c r="B14" i="8"/>
  <c r="J13" i="8"/>
  <c r="J15" i="8" s="1"/>
  <c r="B13" i="8"/>
  <c r="B12" i="8"/>
  <c r="B11" i="8"/>
  <c r="B10" i="8"/>
  <c r="B9" i="8"/>
  <c r="B8" i="8"/>
  <c r="B7" i="8"/>
  <c r="B6" i="8"/>
  <c r="B5" i="8"/>
  <c r="B4" i="8"/>
  <c r="C7" i="6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6" i="6"/>
  <c r="C5" i="6"/>
  <c r="B2445" i="4"/>
  <c r="B2444" i="4"/>
  <c r="B2443" i="4"/>
  <c r="B2442" i="4"/>
  <c r="B2441" i="4"/>
  <c r="B2440" i="4"/>
  <c r="B2439" i="4"/>
  <c r="B2438" i="4"/>
  <c r="B2437" i="4"/>
  <c r="B2436" i="4"/>
  <c r="B2435" i="4"/>
  <c r="B2434" i="4"/>
  <c r="B2433" i="4"/>
  <c r="B2432" i="4"/>
  <c r="B2431" i="4"/>
  <c r="B2430" i="4"/>
  <c r="B2429" i="4"/>
  <c r="B2428" i="4"/>
  <c r="B2427" i="4"/>
  <c r="B2426" i="4"/>
  <c r="B2425" i="4"/>
  <c r="B2424" i="4"/>
  <c r="B2423" i="4"/>
  <c r="B2422" i="4"/>
  <c r="B2421" i="4"/>
  <c r="B2420" i="4"/>
  <c r="B2419" i="4"/>
  <c r="B2418" i="4"/>
  <c r="B2417" i="4"/>
  <c r="B2416" i="4"/>
  <c r="B2415" i="4"/>
  <c r="B2414" i="4"/>
  <c r="B2413" i="4"/>
  <c r="B2412" i="4"/>
  <c r="B2411" i="4"/>
  <c r="B2410" i="4"/>
  <c r="B2409" i="4"/>
  <c r="B2408" i="4"/>
  <c r="B2407" i="4"/>
  <c r="B2406" i="4"/>
  <c r="B2405" i="4"/>
  <c r="B2404" i="4"/>
  <c r="B2403" i="4"/>
  <c r="B2402" i="4"/>
  <c r="B2401" i="4"/>
  <c r="B2400" i="4"/>
  <c r="B2399" i="4"/>
  <c r="B2398" i="4"/>
  <c r="B2397" i="4"/>
  <c r="B2396" i="4"/>
  <c r="B2395" i="4"/>
  <c r="B2394" i="4"/>
  <c r="B2393" i="4"/>
  <c r="B2392" i="4"/>
  <c r="B2391" i="4"/>
  <c r="B2390" i="4"/>
  <c r="B2389" i="4"/>
  <c r="B2388" i="4"/>
  <c r="B2387" i="4"/>
  <c r="B2386" i="4"/>
  <c r="B2385" i="4"/>
  <c r="B2384" i="4"/>
  <c r="B2383" i="4"/>
  <c r="B2382" i="4"/>
  <c r="B2381" i="4"/>
  <c r="B2380" i="4"/>
  <c r="B2379" i="4"/>
  <c r="B2378" i="4"/>
  <c r="B2377" i="4"/>
  <c r="B2376" i="4"/>
  <c r="B2375" i="4"/>
  <c r="B2374" i="4"/>
  <c r="B2373" i="4"/>
  <c r="B2372" i="4"/>
  <c r="B2371" i="4"/>
  <c r="B2370" i="4"/>
  <c r="B2369" i="4"/>
  <c r="B2368" i="4"/>
  <c r="B2367" i="4"/>
  <c r="B2366" i="4"/>
  <c r="B2365" i="4"/>
  <c r="B2364" i="4"/>
  <c r="B2363" i="4"/>
  <c r="B2362" i="4"/>
  <c r="B2361" i="4"/>
  <c r="B2360" i="4"/>
  <c r="B2359" i="4"/>
  <c r="B2358" i="4"/>
  <c r="B2357" i="4"/>
  <c r="B2356" i="4"/>
  <c r="B2355" i="4"/>
  <c r="B2354" i="4"/>
  <c r="B2353" i="4"/>
  <c r="B2352" i="4"/>
  <c r="B2351" i="4"/>
  <c r="B2350" i="4"/>
  <c r="B2349" i="4"/>
  <c r="B2348" i="4"/>
  <c r="B2347" i="4"/>
  <c r="B2346" i="4"/>
  <c r="B2345" i="4"/>
  <c r="B2344" i="4"/>
  <c r="B2343" i="4"/>
  <c r="B2342" i="4"/>
  <c r="B2341" i="4"/>
  <c r="B2340" i="4"/>
  <c r="B2339" i="4"/>
  <c r="B2338" i="4"/>
  <c r="B2337" i="4"/>
  <c r="B2336" i="4"/>
  <c r="B2335" i="4"/>
  <c r="B2334" i="4"/>
  <c r="B2333" i="4"/>
  <c r="B2332" i="4"/>
  <c r="B2331" i="4"/>
  <c r="B2330" i="4"/>
  <c r="B2329" i="4"/>
  <c r="B2328" i="4"/>
  <c r="B2327" i="4"/>
  <c r="B2326" i="4"/>
  <c r="B2325" i="4"/>
  <c r="B2324" i="4"/>
  <c r="B2323" i="4"/>
  <c r="B2322" i="4"/>
  <c r="B2321" i="4"/>
  <c r="B2320" i="4"/>
  <c r="B2319" i="4"/>
  <c r="B2318" i="4"/>
  <c r="B2317" i="4"/>
  <c r="B2316" i="4"/>
  <c r="B2315" i="4"/>
  <c r="B2314" i="4"/>
  <c r="B2313" i="4"/>
  <c r="B2312" i="4"/>
  <c r="B2311" i="4"/>
  <c r="B2310" i="4"/>
  <c r="B2309" i="4"/>
  <c r="B2308" i="4"/>
  <c r="B2307" i="4"/>
  <c r="B2306" i="4"/>
  <c r="B2305" i="4"/>
  <c r="B2304" i="4"/>
  <c r="B2303" i="4"/>
  <c r="B2302" i="4"/>
  <c r="B2301" i="4"/>
  <c r="B2300" i="4"/>
  <c r="B2299" i="4"/>
  <c r="B2298" i="4"/>
  <c r="B2297" i="4"/>
  <c r="B2296" i="4"/>
  <c r="B2295" i="4"/>
  <c r="B2294" i="4"/>
  <c r="B2293" i="4"/>
  <c r="B2292" i="4"/>
  <c r="B2291" i="4"/>
  <c r="B2290" i="4"/>
  <c r="B2289" i="4"/>
  <c r="B2288" i="4"/>
  <c r="B2287" i="4"/>
  <c r="B2286" i="4"/>
  <c r="B2285" i="4"/>
  <c r="B2284" i="4"/>
  <c r="B2283" i="4"/>
  <c r="B2282" i="4"/>
  <c r="B2281" i="4"/>
  <c r="B2280" i="4"/>
  <c r="B2279" i="4"/>
  <c r="B2278" i="4"/>
  <c r="B2277" i="4"/>
  <c r="B2276" i="4"/>
  <c r="B2275" i="4"/>
  <c r="B2274" i="4"/>
  <c r="B2273" i="4"/>
  <c r="B2272" i="4"/>
  <c r="B2271" i="4"/>
  <c r="B2270" i="4"/>
  <c r="B2269" i="4"/>
  <c r="B2268" i="4"/>
  <c r="B2267" i="4"/>
  <c r="B2266" i="4"/>
  <c r="B2265" i="4"/>
  <c r="B2264" i="4"/>
  <c r="B2263" i="4"/>
  <c r="B2262" i="4"/>
  <c r="B2261" i="4"/>
  <c r="B2260" i="4"/>
  <c r="B2259" i="4"/>
  <c r="B2258" i="4"/>
  <c r="B2257" i="4"/>
  <c r="B2256" i="4"/>
  <c r="B2255" i="4"/>
  <c r="B2254" i="4"/>
  <c r="B2253" i="4"/>
  <c r="B2252" i="4"/>
  <c r="B2251" i="4"/>
  <c r="B2250" i="4"/>
  <c r="B2249" i="4"/>
  <c r="B2248" i="4"/>
  <c r="B2247" i="4"/>
  <c r="B2246" i="4"/>
  <c r="B2245" i="4"/>
  <c r="B2244" i="4"/>
  <c r="B2243" i="4"/>
  <c r="B2242" i="4"/>
  <c r="B2241" i="4"/>
  <c r="B2240" i="4"/>
  <c r="B2239" i="4"/>
  <c r="B2238" i="4"/>
  <c r="B2237" i="4"/>
  <c r="B2236" i="4"/>
  <c r="B2235" i="4"/>
  <c r="B2234" i="4"/>
  <c r="B2233" i="4"/>
  <c r="B2232" i="4"/>
  <c r="B2231" i="4"/>
  <c r="B2230" i="4"/>
  <c r="B2229" i="4"/>
  <c r="B2228" i="4"/>
  <c r="B2227" i="4"/>
  <c r="B2226" i="4"/>
  <c r="B2225" i="4"/>
  <c r="B2224" i="4"/>
  <c r="B2223" i="4"/>
  <c r="B2222" i="4"/>
  <c r="B2221" i="4"/>
  <c r="B2220" i="4"/>
  <c r="B2219" i="4"/>
  <c r="B2218" i="4"/>
  <c r="B2217" i="4"/>
  <c r="B2216" i="4"/>
  <c r="B2215" i="4"/>
  <c r="B2214" i="4"/>
  <c r="B2213" i="4"/>
  <c r="B2212" i="4"/>
  <c r="B2211" i="4"/>
  <c r="B2210" i="4"/>
  <c r="B2209" i="4"/>
  <c r="B2208" i="4"/>
  <c r="B2207" i="4"/>
  <c r="B2206" i="4"/>
  <c r="B2205" i="4"/>
  <c r="B2204" i="4"/>
  <c r="B2203" i="4"/>
  <c r="B2202" i="4"/>
  <c r="B2201" i="4"/>
  <c r="B2200" i="4"/>
  <c r="B2199" i="4"/>
  <c r="B2198" i="4"/>
  <c r="B2197" i="4"/>
  <c r="B2196" i="4"/>
  <c r="B2195" i="4"/>
  <c r="B2194" i="4"/>
  <c r="B2193" i="4"/>
  <c r="B2192" i="4"/>
  <c r="B2191" i="4"/>
  <c r="B2190" i="4"/>
  <c r="B2189" i="4"/>
  <c r="B2188" i="4"/>
  <c r="B2187" i="4"/>
  <c r="B2186" i="4"/>
  <c r="B2185" i="4"/>
  <c r="B2184" i="4"/>
  <c r="B2183" i="4"/>
  <c r="B2182" i="4"/>
  <c r="B2181" i="4"/>
  <c r="B2180" i="4"/>
  <c r="B2179" i="4"/>
  <c r="B2178" i="4"/>
  <c r="B2177" i="4"/>
  <c r="B2176" i="4"/>
  <c r="B2175" i="4"/>
  <c r="B2174" i="4"/>
  <c r="B2173" i="4"/>
  <c r="B2172" i="4"/>
  <c r="B2171" i="4"/>
  <c r="B2170" i="4"/>
  <c r="B2169" i="4"/>
  <c r="B2168" i="4"/>
  <c r="B2167" i="4"/>
  <c r="B2166" i="4"/>
  <c r="B2165" i="4"/>
  <c r="B2164" i="4"/>
  <c r="B2163" i="4"/>
  <c r="B2162" i="4"/>
  <c r="B2161" i="4"/>
  <c r="B2160" i="4"/>
  <c r="B2159" i="4"/>
  <c r="B2158" i="4"/>
  <c r="B2157" i="4"/>
  <c r="B2156" i="4"/>
  <c r="B2155" i="4"/>
  <c r="B2154" i="4"/>
  <c r="B2153" i="4"/>
  <c r="B2152" i="4"/>
  <c r="B2151" i="4"/>
  <c r="B2150" i="4"/>
  <c r="B2149" i="4"/>
  <c r="B2148" i="4"/>
  <c r="B2147" i="4"/>
  <c r="B2146" i="4"/>
  <c r="B2145" i="4"/>
  <c r="B2144" i="4"/>
  <c r="B2143" i="4"/>
  <c r="B2142" i="4"/>
  <c r="B2141" i="4"/>
  <c r="B2140" i="4"/>
  <c r="B2139" i="4"/>
  <c r="B2138" i="4"/>
  <c r="B2137" i="4"/>
  <c r="B2136" i="4"/>
  <c r="B2135" i="4"/>
  <c r="B2134" i="4"/>
  <c r="B2133" i="4"/>
  <c r="B2132" i="4"/>
  <c r="B2131" i="4"/>
  <c r="B2130" i="4"/>
  <c r="B2129" i="4"/>
  <c r="B2128" i="4"/>
  <c r="B2127" i="4"/>
  <c r="B2126" i="4"/>
  <c r="B2125" i="4"/>
  <c r="B2124" i="4"/>
  <c r="B2123" i="4"/>
  <c r="B2122" i="4"/>
  <c r="B2121" i="4"/>
  <c r="B2120" i="4"/>
  <c r="B2119" i="4"/>
  <c r="B2118" i="4"/>
  <c r="B2117" i="4"/>
  <c r="B2116" i="4"/>
  <c r="B2115" i="4"/>
  <c r="B2114" i="4"/>
  <c r="B2113" i="4"/>
  <c r="B2112" i="4"/>
  <c r="B2111" i="4"/>
  <c r="B2110" i="4"/>
  <c r="B2109" i="4"/>
  <c r="B2108" i="4"/>
  <c r="B2107" i="4"/>
  <c r="B2106" i="4"/>
  <c r="B2105" i="4"/>
  <c r="B2104" i="4"/>
  <c r="B2103" i="4"/>
  <c r="B2102" i="4"/>
  <c r="B2101" i="4"/>
  <c r="B2100" i="4"/>
  <c r="B2099" i="4"/>
  <c r="B2098" i="4"/>
  <c r="B2097" i="4"/>
  <c r="B2096" i="4"/>
  <c r="B2095" i="4"/>
  <c r="B2094" i="4"/>
  <c r="B2093" i="4"/>
  <c r="B2092" i="4"/>
  <c r="B2091" i="4"/>
  <c r="B2090" i="4"/>
  <c r="B2089" i="4"/>
  <c r="B2088" i="4"/>
  <c r="B2087" i="4"/>
  <c r="B2086" i="4"/>
  <c r="B2085" i="4"/>
  <c r="B2084" i="4"/>
  <c r="B2083" i="4"/>
  <c r="B2082" i="4"/>
  <c r="B2081" i="4"/>
  <c r="B2080" i="4"/>
  <c r="B2079" i="4"/>
  <c r="B2078" i="4"/>
  <c r="B2077" i="4"/>
  <c r="B2076" i="4"/>
  <c r="B2075" i="4"/>
  <c r="B2074" i="4"/>
  <c r="B2073" i="4"/>
  <c r="B2072" i="4"/>
  <c r="B2071" i="4"/>
  <c r="B2070" i="4"/>
  <c r="B2069" i="4"/>
  <c r="B2068" i="4"/>
  <c r="B2067" i="4"/>
  <c r="B2066" i="4"/>
  <c r="B2065" i="4"/>
  <c r="B2064" i="4"/>
  <c r="B2063" i="4"/>
  <c r="B2062" i="4"/>
  <c r="B2061" i="4"/>
  <c r="B2060" i="4"/>
  <c r="B2059" i="4"/>
  <c r="B2058" i="4"/>
  <c r="B2057" i="4"/>
  <c r="B2056" i="4"/>
  <c r="B2055" i="4"/>
  <c r="B2054" i="4"/>
  <c r="B2053" i="4"/>
  <c r="B2052" i="4"/>
  <c r="B2051" i="4"/>
  <c r="B2050" i="4"/>
  <c r="B2049" i="4"/>
  <c r="B2048" i="4"/>
  <c r="B2047" i="4"/>
  <c r="B2046" i="4"/>
  <c r="B2045" i="4"/>
  <c r="B2044" i="4"/>
  <c r="B2043" i="4"/>
  <c r="B2042" i="4"/>
  <c r="B2041" i="4"/>
  <c r="B2040" i="4"/>
  <c r="B2039" i="4"/>
  <c r="B2038" i="4"/>
  <c r="B2037" i="4"/>
  <c r="B2036" i="4"/>
  <c r="B2035" i="4"/>
  <c r="B2034" i="4"/>
  <c r="B2033" i="4"/>
  <c r="B2032" i="4"/>
  <c r="B2031" i="4"/>
  <c r="B2030" i="4"/>
  <c r="B2029" i="4"/>
  <c r="B2028" i="4"/>
  <c r="B2027" i="4"/>
  <c r="B2026" i="4"/>
  <c r="B2025" i="4"/>
  <c r="B2024" i="4"/>
  <c r="B2023" i="4"/>
  <c r="B2022" i="4"/>
  <c r="B2021" i="4"/>
  <c r="B2020" i="4"/>
  <c r="B2019" i="4"/>
  <c r="B2018" i="4"/>
  <c r="B2017" i="4"/>
  <c r="B2016" i="4"/>
  <c r="B2015" i="4"/>
  <c r="B2014" i="4"/>
  <c r="B2013" i="4"/>
  <c r="B2012" i="4"/>
  <c r="B2011" i="4"/>
  <c r="B2010" i="4"/>
  <c r="B2009" i="4"/>
  <c r="B2008" i="4"/>
  <c r="B2007" i="4"/>
  <c r="B2006" i="4"/>
  <c r="B2005" i="4"/>
  <c r="B2004" i="4"/>
  <c r="B2003" i="4"/>
  <c r="B2002" i="4"/>
  <c r="B2001" i="4"/>
  <c r="B2000" i="4"/>
  <c r="B1999" i="4"/>
  <c r="B1998" i="4"/>
  <c r="B1997" i="4"/>
  <c r="B1996" i="4"/>
  <c r="B1995" i="4"/>
  <c r="B1994" i="4"/>
  <c r="B1993" i="4"/>
  <c r="B1992" i="4"/>
  <c r="B1991" i="4"/>
  <c r="B1990" i="4"/>
  <c r="B1989" i="4"/>
  <c r="B1988" i="4"/>
  <c r="B1987" i="4"/>
  <c r="B1986" i="4"/>
  <c r="B1985" i="4"/>
  <c r="B1984" i="4"/>
  <c r="B1983" i="4"/>
  <c r="B1982" i="4"/>
  <c r="B1981" i="4"/>
  <c r="B1980" i="4"/>
  <c r="B1979" i="4"/>
  <c r="B1978" i="4"/>
  <c r="B1977" i="4"/>
  <c r="B1976" i="4"/>
  <c r="B1975" i="4"/>
  <c r="B1974" i="4"/>
  <c r="B1973" i="4"/>
  <c r="B1972" i="4"/>
  <c r="B1971" i="4"/>
  <c r="B1970" i="4"/>
  <c r="B1969" i="4"/>
  <c r="B1968" i="4"/>
  <c r="B1967" i="4"/>
  <c r="B1966" i="4"/>
  <c r="B1965" i="4"/>
  <c r="B1964" i="4"/>
  <c r="B1963" i="4"/>
  <c r="B1962" i="4"/>
  <c r="B1961" i="4"/>
  <c r="B1960" i="4"/>
  <c r="B1959" i="4"/>
  <c r="B1958" i="4"/>
  <c r="B1957" i="4"/>
  <c r="B1956" i="4"/>
  <c r="B1955" i="4"/>
  <c r="B1954" i="4"/>
  <c r="B1953" i="4"/>
  <c r="B1952" i="4"/>
  <c r="B1951" i="4"/>
  <c r="B1950" i="4"/>
  <c r="B1949" i="4"/>
  <c r="B1948" i="4"/>
  <c r="B1947" i="4"/>
  <c r="B1946" i="4"/>
  <c r="B1945" i="4"/>
  <c r="B1944" i="4"/>
  <c r="B1943" i="4"/>
  <c r="B1942" i="4"/>
  <c r="B1941" i="4"/>
  <c r="B1940" i="4"/>
  <c r="B1939" i="4"/>
  <c r="B1938" i="4"/>
  <c r="B1937" i="4"/>
  <c r="B1936" i="4"/>
  <c r="B1935" i="4"/>
  <c r="B1934" i="4"/>
  <c r="B1933" i="4"/>
  <c r="B1932" i="4"/>
  <c r="B1931" i="4"/>
  <c r="B1930" i="4"/>
  <c r="B1929" i="4"/>
  <c r="B1928" i="4"/>
  <c r="B1927" i="4"/>
  <c r="B1926" i="4"/>
  <c r="B1925" i="4"/>
  <c r="B1924" i="4"/>
  <c r="B1923" i="4"/>
  <c r="B1922" i="4"/>
  <c r="B1921" i="4"/>
  <c r="B1920" i="4"/>
  <c r="B1919" i="4"/>
  <c r="B1918" i="4"/>
  <c r="B1917" i="4"/>
  <c r="B1916" i="4"/>
  <c r="B1915" i="4"/>
  <c r="B1914" i="4"/>
  <c r="B1913" i="4"/>
  <c r="B1912" i="4"/>
  <c r="B1911" i="4"/>
  <c r="B1910" i="4"/>
  <c r="B1909" i="4"/>
  <c r="B1908" i="4"/>
  <c r="B1907" i="4"/>
  <c r="B1906" i="4"/>
  <c r="B1905" i="4"/>
  <c r="B1904" i="4"/>
  <c r="B1903" i="4"/>
  <c r="B1902" i="4"/>
  <c r="B1901" i="4"/>
  <c r="B1900" i="4"/>
  <c r="B1899" i="4"/>
  <c r="B1898" i="4"/>
  <c r="B1897" i="4"/>
  <c r="B1896" i="4"/>
  <c r="B1895" i="4"/>
  <c r="B1894" i="4"/>
  <c r="B1893" i="4"/>
  <c r="B1892" i="4"/>
  <c r="B1891" i="4"/>
  <c r="B1890" i="4"/>
  <c r="B1889" i="4"/>
  <c r="B1888" i="4"/>
  <c r="B1887" i="4"/>
  <c r="B1886" i="4"/>
  <c r="B1885" i="4"/>
  <c r="B1884" i="4"/>
  <c r="B1883" i="4"/>
  <c r="B1882" i="4"/>
  <c r="B1881" i="4"/>
  <c r="B1880" i="4"/>
  <c r="B1879" i="4"/>
  <c r="B1878" i="4"/>
  <c r="B1877" i="4"/>
  <c r="B1876" i="4"/>
  <c r="B1875" i="4"/>
  <c r="B1874" i="4"/>
  <c r="B1873" i="4"/>
  <c r="B1872" i="4"/>
  <c r="B1871" i="4"/>
  <c r="B1870" i="4"/>
  <c r="B1869" i="4"/>
  <c r="B1868" i="4"/>
  <c r="B1867" i="4"/>
  <c r="B1866" i="4"/>
  <c r="B1865" i="4"/>
  <c r="B1864" i="4"/>
  <c r="B1863" i="4"/>
  <c r="B1862" i="4"/>
  <c r="B1861" i="4"/>
  <c r="B1860" i="4"/>
  <c r="B1859" i="4"/>
  <c r="B1858" i="4"/>
  <c r="B1857" i="4"/>
  <c r="B1856" i="4"/>
  <c r="B1855" i="4"/>
  <c r="B1854" i="4"/>
  <c r="B1853" i="4"/>
  <c r="B1852" i="4"/>
  <c r="B1851" i="4"/>
  <c r="B1850" i="4"/>
  <c r="B1849" i="4"/>
  <c r="B1848" i="4"/>
  <c r="B1847" i="4"/>
  <c r="B1846" i="4"/>
  <c r="B1845" i="4"/>
  <c r="B1844" i="4"/>
  <c r="B1843" i="4"/>
  <c r="B1842" i="4"/>
  <c r="B1841" i="4"/>
  <c r="B1840" i="4"/>
  <c r="B1839" i="4"/>
  <c r="B1838" i="4"/>
  <c r="B1837" i="4"/>
  <c r="B1836" i="4"/>
  <c r="B1835" i="4"/>
  <c r="B1834" i="4"/>
  <c r="B1833" i="4"/>
  <c r="B1832" i="4"/>
  <c r="B1831" i="4"/>
  <c r="B1830" i="4"/>
  <c r="B1829" i="4"/>
  <c r="B1828" i="4"/>
  <c r="B1827" i="4"/>
  <c r="B1826" i="4"/>
  <c r="B1825" i="4"/>
  <c r="B1824" i="4"/>
  <c r="B1823" i="4"/>
  <c r="B1822" i="4"/>
  <c r="B1821" i="4"/>
  <c r="B1820" i="4"/>
  <c r="B1819" i="4"/>
  <c r="B1818" i="4"/>
  <c r="B1817" i="4"/>
  <c r="B1816" i="4"/>
  <c r="B1815" i="4"/>
  <c r="B1814" i="4"/>
  <c r="B1813" i="4"/>
  <c r="B1812" i="4"/>
  <c r="B1811" i="4"/>
  <c r="B1810" i="4"/>
  <c r="B1809" i="4"/>
  <c r="B1808" i="4"/>
  <c r="B1807" i="4"/>
  <c r="B1806" i="4"/>
  <c r="B1805" i="4"/>
  <c r="B1804" i="4"/>
  <c r="B1803" i="4"/>
  <c r="B1802" i="4"/>
  <c r="B1801" i="4"/>
  <c r="B1800" i="4"/>
  <c r="B1799" i="4"/>
  <c r="B1798" i="4"/>
  <c r="B1797" i="4"/>
  <c r="B1796" i="4"/>
  <c r="B1795" i="4"/>
  <c r="B1794" i="4"/>
  <c r="B1793" i="4"/>
  <c r="B1792" i="4"/>
  <c r="B1791" i="4"/>
  <c r="B1790" i="4"/>
  <c r="B1789" i="4"/>
  <c r="B1788" i="4"/>
  <c r="B1787" i="4"/>
  <c r="B1786" i="4"/>
  <c r="B1785" i="4"/>
  <c r="B1784" i="4"/>
  <c r="B1783" i="4"/>
  <c r="B1782" i="4"/>
  <c r="B1781" i="4"/>
  <c r="B1780" i="4"/>
  <c r="B1779" i="4"/>
  <c r="B1778" i="4"/>
  <c r="B1777" i="4"/>
  <c r="B1776" i="4"/>
  <c r="B1775" i="4"/>
  <c r="B1774" i="4"/>
  <c r="B1773" i="4"/>
  <c r="B1772" i="4"/>
  <c r="B1771" i="4"/>
  <c r="B1770" i="4"/>
  <c r="B1769" i="4"/>
  <c r="B1768" i="4"/>
  <c r="B1767" i="4"/>
  <c r="B1766" i="4"/>
  <c r="B1765" i="4"/>
  <c r="B1764" i="4"/>
  <c r="B1763" i="4"/>
  <c r="B1762" i="4"/>
  <c r="B1761" i="4"/>
  <c r="B1760" i="4"/>
  <c r="B1759" i="4"/>
  <c r="B1758" i="4"/>
  <c r="B1757" i="4"/>
  <c r="B1756" i="4"/>
  <c r="B1755" i="4"/>
  <c r="B1754" i="4"/>
  <c r="B1753" i="4"/>
  <c r="B1752" i="4"/>
  <c r="B1751" i="4"/>
  <c r="B1750" i="4"/>
  <c r="B1749" i="4"/>
  <c r="B1748" i="4"/>
  <c r="B1747" i="4"/>
  <c r="B1746" i="4"/>
  <c r="B1745" i="4"/>
  <c r="B1744" i="4"/>
  <c r="B1743" i="4"/>
  <c r="B1742" i="4"/>
  <c r="B1741" i="4"/>
  <c r="B1740" i="4"/>
  <c r="B1739" i="4"/>
  <c r="B1738" i="4"/>
  <c r="B1737" i="4"/>
  <c r="B1736" i="4"/>
  <c r="B1735" i="4"/>
  <c r="B1734" i="4"/>
  <c r="B1733" i="4"/>
  <c r="B1732" i="4"/>
  <c r="B1731" i="4"/>
  <c r="B1730" i="4"/>
  <c r="B1729" i="4"/>
  <c r="B1728" i="4"/>
  <c r="B1727" i="4"/>
  <c r="B1726" i="4"/>
  <c r="B1725" i="4"/>
  <c r="B1724" i="4"/>
  <c r="B1723" i="4"/>
  <c r="B1722" i="4"/>
  <c r="B1721" i="4"/>
  <c r="B1720" i="4"/>
  <c r="B1719" i="4"/>
  <c r="B1718" i="4"/>
  <c r="B1717" i="4"/>
  <c r="B1716" i="4"/>
  <c r="B1715" i="4"/>
  <c r="B1714" i="4"/>
  <c r="B1713" i="4"/>
  <c r="B1712" i="4"/>
  <c r="B1711" i="4"/>
  <c r="B1710" i="4"/>
  <c r="B1709" i="4"/>
  <c r="B1708" i="4"/>
  <c r="B1707" i="4"/>
  <c r="B1706" i="4"/>
  <c r="B1705" i="4"/>
  <c r="B1704" i="4"/>
  <c r="B1703" i="4"/>
  <c r="B1702" i="4"/>
  <c r="B1701" i="4"/>
  <c r="B1700" i="4"/>
  <c r="B1699" i="4"/>
  <c r="B1698" i="4"/>
  <c r="B1697" i="4"/>
  <c r="B1696" i="4"/>
  <c r="B1695" i="4"/>
  <c r="B1694" i="4"/>
  <c r="B1693" i="4"/>
  <c r="B1692" i="4"/>
  <c r="B1691" i="4"/>
  <c r="B1690" i="4"/>
  <c r="B1689" i="4"/>
  <c r="B1688" i="4"/>
  <c r="B1687" i="4"/>
  <c r="B1686" i="4"/>
  <c r="B1685" i="4"/>
  <c r="B1684" i="4"/>
  <c r="B1683" i="4"/>
  <c r="B1682" i="4"/>
  <c r="B1681" i="4"/>
  <c r="B1680" i="4"/>
  <c r="B1679" i="4"/>
  <c r="B1678" i="4"/>
  <c r="B1677" i="4"/>
  <c r="B1676" i="4"/>
  <c r="B1675" i="4"/>
  <c r="B1674" i="4"/>
  <c r="B1673" i="4"/>
  <c r="B1672" i="4"/>
  <c r="B1671" i="4"/>
  <c r="B1670" i="4"/>
  <c r="B1669" i="4"/>
  <c r="B1668" i="4"/>
  <c r="B1667" i="4"/>
  <c r="B1666" i="4"/>
  <c r="B1665" i="4"/>
  <c r="B1664" i="4"/>
  <c r="B1663" i="4"/>
  <c r="B1662" i="4"/>
  <c r="B1661" i="4"/>
  <c r="B1660" i="4"/>
  <c r="B1659" i="4"/>
  <c r="B1658" i="4"/>
  <c r="B1657" i="4"/>
  <c r="B1656" i="4"/>
  <c r="B1655" i="4"/>
  <c r="B1654" i="4"/>
  <c r="B1653" i="4"/>
  <c r="B1652" i="4"/>
  <c r="B1651" i="4"/>
  <c r="B1650" i="4"/>
  <c r="B1649" i="4"/>
  <c r="B1648" i="4"/>
  <c r="B1647" i="4"/>
  <c r="B1646" i="4"/>
  <c r="B1645" i="4"/>
  <c r="B1644" i="4"/>
  <c r="B1643" i="4"/>
  <c r="B1642" i="4"/>
  <c r="B1641" i="4"/>
  <c r="B1640" i="4"/>
  <c r="B1639" i="4"/>
  <c r="B1638" i="4"/>
  <c r="B1637" i="4"/>
  <c r="B1636" i="4"/>
  <c r="B1635" i="4"/>
  <c r="B1634" i="4"/>
  <c r="B1633" i="4"/>
  <c r="B1632" i="4"/>
  <c r="B1631" i="4"/>
  <c r="B1630" i="4"/>
  <c r="B1629" i="4"/>
  <c r="B1628" i="4"/>
  <c r="B1627" i="4"/>
  <c r="B1626" i="4"/>
  <c r="B1625" i="4"/>
  <c r="B1624" i="4"/>
  <c r="B1623" i="4"/>
  <c r="B1622" i="4"/>
  <c r="B1621" i="4"/>
  <c r="B1620" i="4"/>
  <c r="B1619" i="4"/>
  <c r="B1618" i="4"/>
  <c r="B1617" i="4"/>
  <c r="B1616" i="4"/>
  <c r="B1615" i="4"/>
  <c r="B1614" i="4"/>
  <c r="B1613" i="4"/>
  <c r="B1612" i="4"/>
  <c r="B1611" i="4"/>
  <c r="B1610" i="4"/>
  <c r="B1609" i="4"/>
  <c r="B1608" i="4"/>
  <c r="B1607" i="4"/>
  <c r="B1606" i="4"/>
  <c r="B1605" i="4"/>
  <c r="B1604" i="4"/>
  <c r="B1603" i="4"/>
  <c r="B1602" i="4"/>
  <c r="B1601" i="4"/>
  <c r="B1600" i="4"/>
  <c r="B1599" i="4"/>
  <c r="B1598" i="4"/>
  <c r="B1597" i="4"/>
  <c r="B1596" i="4"/>
  <c r="B1595" i="4"/>
  <c r="B1594" i="4"/>
  <c r="B1593" i="4"/>
  <c r="B1592" i="4"/>
  <c r="B1591" i="4"/>
  <c r="B1590" i="4"/>
  <c r="B1589" i="4"/>
  <c r="B1588" i="4"/>
  <c r="B1587" i="4"/>
  <c r="B1586" i="4"/>
  <c r="B1585" i="4"/>
  <c r="B1584" i="4"/>
  <c r="B1583" i="4"/>
  <c r="B1582" i="4"/>
  <c r="B1581" i="4"/>
  <c r="B1580" i="4"/>
  <c r="B1579" i="4"/>
  <c r="B1578" i="4"/>
  <c r="B1577" i="4"/>
  <c r="B1576" i="4"/>
  <c r="B1575" i="4"/>
  <c r="B1574" i="4"/>
  <c r="B1573" i="4"/>
  <c r="B1572" i="4"/>
  <c r="B1571" i="4"/>
  <c r="B1570" i="4"/>
  <c r="B1569" i="4"/>
  <c r="B1568" i="4"/>
  <c r="B1567" i="4"/>
  <c r="B1566" i="4"/>
  <c r="B1565" i="4"/>
  <c r="B1564" i="4"/>
  <c r="B1563" i="4"/>
  <c r="B1562" i="4"/>
  <c r="B1561" i="4"/>
  <c r="B1560" i="4"/>
  <c r="B1559" i="4"/>
  <c r="B1558" i="4"/>
  <c r="B1557" i="4"/>
  <c r="B1556" i="4"/>
  <c r="B1555" i="4"/>
  <c r="B1554" i="4"/>
  <c r="B1553" i="4"/>
  <c r="B1552" i="4"/>
  <c r="B1551" i="4"/>
  <c r="B1550" i="4"/>
  <c r="B1549" i="4"/>
  <c r="B1548" i="4"/>
  <c r="B1547" i="4"/>
  <c r="B1546" i="4"/>
  <c r="B1545" i="4"/>
  <c r="B1544" i="4"/>
  <c r="B1543" i="4"/>
  <c r="B1542" i="4"/>
  <c r="B1541" i="4"/>
  <c r="B1540" i="4"/>
  <c r="B1539" i="4"/>
  <c r="B1538" i="4"/>
  <c r="B1537" i="4"/>
  <c r="B1536" i="4"/>
  <c r="B1535" i="4"/>
  <c r="B1534" i="4"/>
  <c r="B1533" i="4"/>
  <c r="B1532" i="4"/>
  <c r="B1531" i="4"/>
  <c r="B1530" i="4"/>
  <c r="B1529" i="4"/>
  <c r="B1528" i="4"/>
  <c r="B1527" i="4"/>
  <c r="B1526" i="4"/>
  <c r="B1525" i="4"/>
  <c r="B1524" i="4"/>
  <c r="B1523" i="4"/>
  <c r="B1522" i="4"/>
  <c r="B1521" i="4"/>
  <c r="B1520" i="4"/>
  <c r="B1519" i="4"/>
  <c r="B1518" i="4"/>
  <c r="B1517" i="4"/>
  <c r="B1516" i="4"/>
  <c r="B1515" i="4"/>
  <c r="B1514" i="4"/>
  <c r="B1513" i="4"/>
  <c r="B1512" i="4"/>
  <c r="B1511" i="4"/>
  <c r="B1510" i="4"/>
  <c r="B1509" i="4"/>
  <c r="B1508" i="4"/>
  <c r="B1507" i="4"/>
  <c r="B1506" i="4"/>
  <c r="B1505" i="4"/>
  <c r="B1504" i="4"/>
  <c r="B1503" i="4"/>
  <c r="B1502" i="4"/>
  <c r="B1501" i="4"/>
  <c r="B1500" i="4"/>
  <c r="B1499" i="4"/>
  <c r="B1498" i="4"/>
  <c r="B1497" i="4"/>
  <c r="B1496" i="4"/>
  <c r="B1495" i="4"/>
  <c r="B1494" i="4"/>
  <c r="B1493" i="4"/>
  <c r="B1492" i="4"/>
  <c r="B1491" i="4"/>
  <c r="B1490" i="4"/>
  <c r="B1489" i="4"/>
  <c r="B1488" i="4"/>
  <c r="B1487" i="4"/>
  <c r="B1486" i="4"/>
  <c r="B1485" i="4"/>
  <c r="B1484" i="4"/>
  <c r="B1483" i="4"/>
  <c r="B1482" i="4"/>
  <c r="B1481" i="4"/>
  <c r="B1480" i="4"/>
  <c r="B1479" i="4"/>
  <c r="B1478" i="4"/>
  <c r="B1477" i="4"/>
  <c r="B1476" i="4"/>
  <c r="B1475" i="4"/>
  <c r="B1474" i="4"/>
  <c r="B1473" i="4"/>
  <c r="B1472" i="4"/>
  <c r="B1471" i="4"/>
  <c r="B1470" i="4"/>
  <c r="B1469" i="4"/>
  <c r="B1468" i="4"/>
  <c r="B1467" i="4"/>
  <c r="B1466" i="4"/>
  <c r="B1465" i="4"/>
  <c r="B1464" i="4"/>
  <c r="B1463" i="4"/>
  <c r="B1462" i="4"/>
  <c r="B1461" i="4"/>
  <c r="B1460" i="4"/>
  <c r="B1459" i="4"/>
  <c r="B1458" i="4"/>
  <c r="B1457" i="4"/>
  <c r="B1456" i="4"/>
  <c r="B1455" i="4"/>
  <c r="B1454" i="4"/>
  <c r="B1453" i="4"/>
  <c r="B1452" i="4"/>
  <c r="B1451" i="4"/>
  <c r="B1450" i="4"/>
  <c r="B1449" i="4"/>
  <c r="B1448" i="4"/>
  <c r="B1447" i="4"/>
  <c r="B1446" i="4"/>
  <c r="B1445" i="4"/>
  <c r="B1444" i="4"/>
  <c r="B1443" i="4"/>
  <c r="B1442" i="4"/>
  <c r="B1441" i="4"/>
  <c r="B1440" i="4"/>
  <c r="B1439" i="4"/>
  <c r="B1438" i="4"/>
  <c r="B1437" i="4"/>
  <c r="B1436" i="4"/>
  <c r="B1435" i="4"/>
  <c r="B1434" i="4"/>
  <c r="B1433" i="4"/>
  <c r="B1432" i="4"/>
  <c r="B1431" i="4"/>
  <c r="B1430" i="4"/>
  <c r="B1429" i="4"/>
  <c r="B1428" i="4"/>
  <c r="B1427" i="4"/>
  <c r="B1426" i="4"/>
  <c r="B1425" i="4"/>
  <c r="B1424" i="4"/>
  <c r="B1423" i="4"/>
  <c r="B1422" i="4"/>
  <c r="B1421" i="4"/>
  <c r="B1420" i="4"/>
  <c r="B1419" i="4"/>
  <c r="B1418" i="4"/>
  <c r="B1417" i="4"/>
  <c r="B1416" i="4"/>
  <c r="B1415" i="4"/>
  <c r="B1414" i="4"/>
  <c r="B1413" i="4"/>
  <c r="B1412" i="4"/>
  <c r="B1411" i="4"/>
  <c r="B1410" i="4"/>
  <c r="B1409" i="4"/>
  <c r="B1408" i="4"/>
  <c r="B1407" i="4"/>
  <c r="B1406" i="4"/>
  <c r="B1405" i="4"/>
  <c r="B1404" i="4"/>
  <c r="B1403" i="4"/>
  <c r="B1402" i="4"/>
  <c r="B1401" i="4"/>
  <c r="B1400" i="4"/>
  <c r="B1399" i="4"/>
  <c r="B1398" i="4"/>
  <c r="B1397" i="4"/>
  <c r="B1396" i="4"/>
  <c r="B1395" i="4"/>
  <c r="B1394" i="4"/>
  <c r="B1393" i="4"/>
  <c r="B1392" i="4"/>
  <c r="B1391" i="4"/>
  <c r="B1390" i="4"/>
  <c r="B1389" i="4"/>
  <c r="B1388" i="4"/>
  <c r="B1387" i="4"/>
  <c r="B1386" i="4"/>
  <c r="B1385" i="4"/>
  <c r="B1384" i="4"/>
  <c r="B1383" i="4"/>
  <c r="B1382" i="4"/>
  <c r="B1381" i="4"/>
  <c r="B1380" i="4"/>
  <c r="B1379" i="4"/>
  <c r="B1378" i="4"/>
  <c r="B1377" i="4"/>
  <c r="B1376" i="4"/>
  <c r="B1375" i="4"/>
  <c r="B1374" i="4"/>
  <c r="B1373" i="4"/>
  <c r="B1372" i="4"/>
  <c r="B1371" i="4"/>
  <c r="B1370" i="4"/>
  <c r="B1369" i="4"/>
  <c r="B1368" i="4"/>
  <c r="B1367" i="4"/>
  <c r="B1366" i="4"/>
  <c r="B1365" i="4"/>
  <c r="B1364" i="4"/>
  <c r="B1363" i="4"/>
  <c r="B1362" i="4"/>
  <c r="B1361" i="4"/>
  <c r="B1360" i="4"/>
  <c r="B1359" i="4"/>
  <c r="B1358" i="4"/>
  <c r="B1357" i="4"/>
  <c r="B1356" i="4"/>
  <c r="B1355" i="4"/>
  <c r="B1354" i="4"/>
  <c r="B1353" i="4"/>
  <c r="B1352" i="4"/>
  <c r="B1351" i="4"/>
  <c r="B1350" i="4"/>
  <c r="B1349" i="4"/>
  <c r="B1348" i="4"/>
  <c r="B1347" i="4"/>
  <c r="B1346" i="4"/>
  <c r="B1345" i="4"/>
  <c r="B1344" i="4"/>
  <c r="B1343" i="4"/>
  <c r="B1342" i="4"/>
  <c r="B1341" i="4"/>
  <c r="B1340" i="4"/>
  <c r="B1339" i="4"/>
  <c r="B1338" i="4"/>
  <c r="B1337" i="4"/>
  <c r="B1336" i="4"/>
  <c r="B1335" i="4"/>
  <c r="B1334" i="4"/>
  <c r="B1333" i="4"/>
  <c r="B1332" i="4"/>
  <c r="B1331" i="4"/>
  <c r="B1330" i="4"/>
  <c r="B1329" i="4"/>
  <c r="B1328" i="4"/>
  <c r="B1327" i="4"/>
  <c r="B1326" i="4"/>
  <c r="B1325" i="4"/>
  <c r="B1324" i="4"/>
  <c r="B1323" i="4"/>
  <c r="B1322" i="4"/>
  <c r="B1321" i="4"/>
  <c r="B1320" i="4"/>
  <c r="B1319" i="4"/>
  <c r="B1318" i="4"/>
  <c r="B1317" i="4"/>
  <c r="B1316" i="4"/>
  <c r="B1315" i="4"/>
  <c r="B1314" i="4"/>
  <c r="B1313" i="4"/>
  <c r="B1312" i="4"/>
  <c r="B1311" i="4"/>
  <c r="B1310" i="4"/>
  <c r="B1309" i="4"/>
  <c r="B1308" i="4"/>
  <c r="B1307" i="4"/>
  <c r="B1306" i="4"/>
  <c r="B1305" i="4"/>
  <c r="B1304" i="4"/>
  <c r="B1303" i="4"/>
  <c r="B1302" i="4"/>
  <c r="B1301" i="4"/>
  <c r="B1300" i="4"/>
  <c r="B1299" i="4"/>
  <c r="B1298" i="4"/>
  <c r="B1297" i="4"/>
  <c r="B1296" i="4"/>
  <c r="B1295" i="4"/>
  <c r="B1294" i="4"/>
  <c r="B1293" i="4"/>
  <c r="B1292" i="4"/>
  <c r="B1291" i="4"/>
  <c r="B1290" i="4"/>
  <c r="B1289" i="4"/>
  <c r="B1288" i="4"/>
  <c r="B1287" i="4"/>
  <c r="B1286" i="4"/>
  <c r="B1285" i="4"/>
  <c r="B1284" i="4"/>
  <c r="B1283" i="4"/>
  <c r="B1282" i="4"/>
  <c r="B1281" i="4"/>
  <c r="B1280" i="4"/>
  <c r="B1279" i="4"/>
  <c r="B1278" i="4"/>
  <c r="B1277" i="4"/>
  <c r="B1276" i="4"/>
  <c r="B1275" i="4"/>
  <c r="B1274" i="4"/>
  <c r="B1273" i="4"/>
  <c r="B1272" i="4"/>
  <c r="B1271" i="4"/>
  <c r="B1270" i="4"/>
  <c r="B1269" i="4"/>
  <c r="B1268" i="4"/>
  <c r="B1267" i="4"/>
  <c r="B1266" i="4"/>
  <c r="B1265" i="4"/>
  <c r="B1264" i="4"/>
  <c r="B1263" i="4"/>
  <c r="B1262" i="4"/>
  <c r="B1261" i="4"/>
  <c r="B1260" i="4"/>
  <c r="B1259" i="4"/>
  <c r="B1258" i="4"/>
  <c r="B1257" i="4"/>
  <c r="B1256" i="4"/>
  <c r="B1255" i="4"/>
  <c r="B1254" i="4"/>
  <c r="B1253" i="4"/>
  <c r="B1252" i="4"/>
  <c r="B1251" i="4"/>
  <c r="B1250" i="4"/>
  <c r="B1249" i="4"/>
  <c r="B1248" i="4"/>
  <c r="B1247" i="4"/>
  <c r="B1246" i="4"/>
  <c r="B1245" i="4"/>
  <c r="B1244" i="4"/>
  <c r="B1243" i="4"/>
  <c r="B1242" i="4"/>
  <c r="B1241" i="4"/>
  <c r="B1240" i="4"/>
  <c r="B1239" i="4"/>
  <c r="B1238" i="4"/>
  <c r="B1237" i="4"/>
  <c r="B1236" i="4"/>
  <c r="B1235" i="4"/>
  <c r="B1234" i="4"/>
  <c r="B1233" i="4"/>
  <c r="B1232" i="4"/>
  <c r="B1231" i="4"/>
  <c r="B1230" i="4"/>
  <c r="B1229" i="4"/>
  <c r="B1228" i="4"/>
  <c r="B1227" i="4"/>
  <c r="B1226" i="4"/>
  <c r="B1225" i="4"/>
  <c r="B1224" i="4"/>
  <c r="B1223" i="4"/>
  <c r="B1222" i="4"/>
  <c r="B1221" i="4"/>
  <c r="B1220" i="4"/>
  <c r="B1219" i="4"/>
  <c r="B1218" i="4"/>
  <c r="B1217" i="4"/>
  <c r="B1216" i="4"/>
  <c r="B1215" i="4"/>
  <c r="B1214" i="4"/>
  <c r="B1213" i="4"/>
  <c r="B1212" i="4"/>
  <c r="B1211" i="4"/>
  <c r="B1210" i="4"/>
  <c r="B1209" i="4"/>
  <c r="B1208" i="4"/>
  <c r="B1207" i="4"/>
  <c r="B1206" i="4"/>
  <c r="B1205" i="4"/>
  <c r="B1204" i="4"/>
  <c r="B1203" i="4"/>
  <c r="B1202" i="4"/>
  <c r="B1201" i="4"/>
  <c r="B1200" i="4"/>
  <c r="B1199" i="4"/>
  <c r="B1198" i="4"/>
  <c r="B1197" i="4"/>
  <c r="B1196" i="4"/>
  <c r="B1195" i="4"/>
  <c r="B1194" i="4"/>
  <c r="B1193" i="4"/>
  <c r="B1192" i="4"/>
  <c r="B1191" i="4"/>
  <c r="B1190" i="4"/>
  <c r="B1189" i="4"/>
  <c r="B1188" i="4"/>
  <c r="B1187" i="4"/>
  <c r="B1186" i="4"/>
  <c r="B1185" i="4"/>
  <c r="B1184" i="4"/>
  <c r="B1183" i="4"/>
  <c r="B1182" i="4"/>
  <c r="B1181" i="4"/>
  <c r="B1180" i="4"/>
  <c r="B1179" i="4"/>
  <c r="B1178" i="4"/>
  <c r="B1177" i="4"/>
  <c r="B1176" i="4"/>
  <c r="B1175" i="4"/>
  <c r="B1174" i="4"/>
  <c r="B1173" i="4"/>
  <c r="B1172" i="4"/>
  <c r="B1171" i="4"/>
  <c r="B1170" i="4"/>
  <c r="B1169" i="4"/>
  <c r="B1168" i="4"/>
  <c r="B1167" i="4"/>
  <c r="B1166" i="4"/>
  <c r="B1165" i="4"/>
  <c r="B1164" i="4"/>
  <c r="B1163" i="4"/>
  <c r="B1162" i="4"/>
  <c r="B1161" i="4"/>
  <c r="B1160" i="4"/>
  <c r="B1159" i="4"/>
  <c r="B1158" i="4"/>
  <c r="B1157" i="4"/>
  <c r="B1156" i="4"/>
  <c r="B1155" i="4"/>
  <c r="B1154" i="4"/>
  <c r="B1153" i="4"/>
  <c r="B1152" i="4"/>
  <c r="B1151" i="4"/>
  <c r="B1150" i="4"/>
  <c r="B1149" i="4"/>
  <c r="B1148" i="4"/>
  <c r="B1147" i="4"/>
  <c r="B1146" i="4"/>
  <c r="B1145" i="4"/>
  <c r="B1144" i="4"/>
  <c r="B1143" i="4"/>
  <c r="B1142" i="4"/>
  <c r="B1141" i="4"/>
  <c r="B1140" i="4"/>
  <c r="B1139" i="4"/>
  <c r="B1138" i="4"/>
  <c r="B1137" i="4"/>
  <c r="B1136" i="4"/>
  <c r="B1135" i="4"/>
  <c r="B1134" i="4"/>
  <c r="B1133" i="4"/>
  <c r="B1132" i="4"/>
  <c r="B1131" i="4"/>
  <c r="B1130" i="4"/>
  <c r="B1129" i="4"/>
  <c r="B1128" i="4"/>
  <c r="B1127" i="4"/>
  <c r="B1126" i="4"/>
  <c r="B1125" i="4"/>
  <c r="B1124" i="4"/>
  <c r="B1123" i="4"/>
  <c r="B1122" i="4"/>
  <c r="B1121" i="4"/>
  <c r="B1120" i="4"/>
  <c r="B1119" i="4"/>
  <c r="B1118" i="4"/>
  <c r="B1117" i="4"/>
  <c r="B1116" i="4"/>
  <c r="B1115" i="4"/>
  <c r="B1114" i="4"/>
  <c r="B1113" i="4"/>
  <c r="B1112" i="4"/>
  <c r="B1111" i="4"/>
  <c r="B1110" i="4"/>
  <c r="B1109" i="4"/>
  <c r="B1108" i="4"/>
  <c r="B1107" i="4"/>
  <c r="B1106" i="4"/>
  <c r="B1105" i="4"/>
  <c r="B1104" i="4"/>
  <c r="B1103" i="4"/>
  <c r="B1102" i="4"/>
  <c r="B1101" i="4"/>
  <c r="B1100" i="4"/>
  <c r="B1099" i="4"/>
  <c r="B1098" i="4"/>
  <c r="B1097" i="4"/>
  <c r="B1096" i="4"/>
  <c r="B1095" i="4"/>
  <c r="B1094" i="4"/>
  <c r="B1093" i="4"/>
  <c r="B1092" i="4"/>
  <c r="B1091" i="4"/>
  <c r="B1090" i="4"/>
  <c r="B1089" i="4"/>
  <c r="B1088" i="4"/>
  <c r="B1087" i="4"/>
  <c r="B1086" i="4"/>
  <c r="B1085" i="4"/>
  <c r="B1084" i="4"/>
  <c r="B1083" i="4"/>
  <c r="B1082" i="4"/>
  <c r="B1081" i="4"/>
  <c r="B1080" i="4"/>
  <c r="B1079" i="4"/>
  <c r="B1078" i="4"/>
  <c r="B1077" i="4"/>
  <c r="B1076" i="4"/>
  <c r="B1075" i="4"/>
  <c r="B1074" i="4"/>
  <c r="B1073" i="4"/>
  <c r="B1072" i="4"/>
  <c r="B1071" i="4"/>
  <c r="B1070" i="4"/>
  <c r="B1069" i="4"/>
  <c r="B1068" i="4"/>
  <c r="B1067" i="4"/>
  <c r="B1066" i="4"/>
  <c r="B1065" i="4"/>
  <c r="B1064" i="4"/>
  <c r="B1063" i="4"/>
  <c r="B1062" i="4"/>
  <c r="B1061" i="4"/>
  <c r="B1060" i="4"/>
  <c r="B1059" i="4"/>
  <c r="B1058" i="4"/>
  <c r="B1057" i="4"/>
  <c r="B1056" i="4"/>
  <c r="B1055" i="4"/>
  <c r="B1054" i="4"/>
  <c r="B1053" i="4"/>
  <c r="B1052" i="4"/>
  <c r="B1051" i="4"/>
  <c r="B1050" i="4"/>
  <c r="B1049" i="4"/>
  <c r="B1048" i="4"/>
  <c r="B1047" i="4"/>
  <c r="B1046" i="4"/>
  <c r="B1045" i="4"/>
  <c r="B1044" i="4"/>
  <c r="B1043" i="4"/>
  <c r="B1042" i="4"/>
  <c r="B1041" i="4"/>
  <c r="B1040" i="4"/>
  <c r="B1039" i="4"/>
  <c r="B1038" i="4"/>
  <c r="B1037" i="4"/>
  <c r="B1036" i="4"/>
  <c r="B1035" i="4"/>
  <c r="B1034" i="4"/>
  <c r="B1033" i="4"/>
  <c r="B1032" i="4"/>
  <c r="B1031" i="4"/>
  <c r="B1030" i="4"/>
  <c r="B1029" i="4"/>
  <c r="B1028" i="4"/>
  <c r="B1027" i="4"/>
  <c r="B1026" i="4"/>
  <c r="B1025" i="4"/>
  <c r="B1024" i="4"/>
  <c r="B1023" i="4"/>
  <c r="B1022" i="4"/>
  <c r="B1021" i="4"/>
  <c r="B1020" i="4"/>
  <c r="B1019" i="4"/>
  <c r="B1018" i="4"/>
  <c r="B1017" i="4"/>
  <c r="B1016" i="4"/>
  <c r="B1015" i="4"/>
  <c r="B1014" i="4"/>
  <c r="B1013" i="4"/>
  <c r="B1012" i="4"/>
  <c r="B1011" i="4"/>
  <c r="B1010" i="4"/>
  <c r="B1009" i="4"/>
  <c r="B1008" i="4"/>
  <c r="B1007" i="4"/>
  <c r="B1006" i="4"/>
  <c r="B1005" i="4"/>
  <c r="B1004" i="4"/>
  <c r="B1003" i="4"/>
  <c r="B1002" i="4"/>
  <c r="B1001" i="4"/>
  <c r="B1000" i="4"/>
  <c r="B999" i="4"/>
  <c r="B998" i="4"/>
  <c r="B997" i="4"/>
  <c r="B996" i="4"/>
  <c r="B995" i="4"/>
  <c r="B994" i="4"/>
  <c r="B993" i="4"/>
  <c r="B992" i="4"/>
  <c r="B991" i="4"/>
  <c r="B990" i="4"/>
  <c r="B989" i="4"/>
  <c r="B988" i="4"/>
  <c r="B987" i="4"/>
  <c r="B986" i="4"/>
  <c r="B985" i="4"/>
  <c r="B984" i="4"/>
  <c r="B983" i="4"/>
  <c r="B982" i="4"/>
  <c r="B981" i="4"/>
  <c r="B980" i="4"/>
  <c r="B979" i="4"/>
  <c r="B978" i="4"/>
  <c r="B977" i="4"/>
  <c r="B976" i="4"/>
  <c r="B975" i="4"/>
  <c r="B974" i="4"/>
  <c r="B973" i="4"/>
  <c r="B972" i="4"/>
  <c r="B971" i="4"/>
  <c r="B970" i="4"/>
  <c r="B969" i="4"/>
  <c r="B968" i="4"/>
  <c r="B967" i="4"/>
  <c r="B966" i="4"/>
  <c r="B965" i="4"/>
  <c r="B964" i="4"/>
  <c r="B963" i="4"/>
  <c r="B962" i="4"/>
  <c r="B961" i="4"/>
  <c r="B960" i="4"/>
  <c r="B959" i="4"/>
  <c r="B958" i="4"/>
  <c r="B957" i="4"/>
  <c r="B956" i="4"/>
  <c r="B955" i="4"/>
  <c r="B954" i="4"/>
  <c r="B953" i="4"/>
  <c r="B952" i="4"/>
  <c r="B951" i="4"/>
  <c r="B950" i="4"/>
  <c r="B949" i="4"/>
  <c r="B948" i="4"/>
  <c r="B947" i="4"/>
  <c r="B946" i="4"/>
  <c r="B945" i="4"/>
  <c r="B944" i="4"/>
  <c r="B943" i="4"/>
  <c r="B942" i="4"/>
  <c r="B941" i="4"/>
  <c r="B940" i="4"/>
  <c r="B939" i="4"/>
  <c r="B938" i="4"/>
  <c r="B937" i="4"/>
  <c r="B936" i="4"/>
  <c r="B935" i="4"/>
  <c r="B934" i="4"/>
  <c r="B933" i="4"/>
  <c r="B932" i="4"/>
  <c r="B931" i="4"/>
  <c r="B930" i="4"/>
  <c r="B929" i="4"/>
  <c r="B928" i="4"/>
  <c r="B927" i="4"/>
  <c r="B926" i="4"/>
  <c r="B925" i="4"/>
  <c r="B924" i="4"/>
  <c r="B923" i="4"/>
  <c r="B922" i="4"/>
  <c r="B921" i="4"/>
  <c r="B920" i="4"/>
  <c r="B919" i="4"/>
  <c r="B918" i="4"/>
  <c r="B917" i="4"/>
  <c r="B916" i="4"/>
  <c r="B915" i="4"/>
  <c r="B914" i="4"/>
  <c r="B913" i="4"/>
  <c r="B912" i="4"/>
  <c r="B911" i="4"/>
  <c r="B910" i="4"/>
  <c r="B909" i="4"/>
  <c r="B908" i="4"/>
  <c r="B907" i="4"/>
  <c r="B906" i="4"/>
  <c r="B905" i="4"/>
  <c r="B904" i="4"/>
  <c r="B903" i="4"/>
  <c r="B902" i="4"/>
  <c r="B901" i="4"/>
  <c r="B900" i="4"/>
  <c r="B899" i="4"/>
  <c r="B898" i="4"/>
  <c r="B897" i="4"/>
  <c r="B896" i="4"/>
  <c r="B895" i="4"/>
  <c r="B894" i="4"/>
  <c r="B893" i="4"/>
  <c r="B892" i="4"/>
  <c r="B891" i="4"/>
  <c r="B890" i="4"/>
  <c r="B889" i="4"/>
  <c r="B888" i="4"/>
  <c r="B887" i="4"/>
  <c r="B886" i="4"/>
  <c r="B885" i="4"/>
  <c r="B884" i="4"/>
  <c r="B883" i="4"/>
  <c r="B882" i="4"/>
  <c r="B881" i="4"/>
  <c r="B880" i="4"/>
  <c r="B879" i="4"/>
  <c r="B878" i="4"/>
  <c r="B877" i="4"/>
  <c r="B876" i="4"/>
  <c r="B875" i="4"/>
  <c r="B874" i="4"/>
  <c r="B873" i="4"/>
  <c r="B872" i="4"/>
  <c r="B871" i="4"/>
  <c r="B870" i="4"/>
  <c r="B869" i="4"/>
  <c r="B868" i="4"/>
  <c r="B867" i="4"/>
  <c r="B866" i="4"/>
  <c r="B865" i="4"/>
  <c r="B864" i="4"/>
  <c r="B863" i="4"/>
  <c r="B862" i="4"/>
  <c r="B861" i="4"/>
  <c r="B860" i="4"/>
  <c r="B859" i="4"/>
  <c r="B858" i="4"/>
  <c r="B857" i="4"/>
  <c r="B856" i="4"/>
  <c r="B855" i="4"/>
  <c r="B854" i="4"/>
  <c r="B853" i="4"/>
  <c r="B852" i="4"/>
  <c r="B851" i="4"/>
  <c r="B850" i="4"/>
  <c r="B849" i="4"/>
  <c r="B848" i="4"/>
  <c r="B847" i="4"/>
  <c r="B846" i="4"/>
  <c r="B845" i="4"/>
  <c r="B844" i="4"/>
  <c r="B843" i="4"/>
  <c r="B842" i="4"/>
  <c r="B841" i="4"/>
  <c r="B840" i="4"/>
  <c r="B839" i="4"/>
  <c r="B838" i="4"/>
  <c r="B837" i="4"/>
  <c r="B836" i="4"/>
  <c r="B835" i="4"/>
  <c r="B834" i="4"/>
  <c r="B833" i="4"/>
  <c r="B832" i="4"/>
  <c r="B831" i="4"/>
  <c r="B830" i="4"/>
  <c r="B829" i="4"/>
  <c r="B828" i="4"/>
  <c r="B827" i="4"/>
  <c r="B826" i="4"/>
  <c r="B825" i="4"/>
  <c r="B824" i="4"/>
  <c r="B823" i="4"/>
  <c r="B822" i="4"/>
  <c r="B821" i="4"/>
  <c r="B820" i="4"/>
  <c r="B819" i="4"/>
  <c r="B818" i="4"/>
  <c r="B817" i="4"/>
  <c r="B816" i="4"/>
  <c r="B815" i="4"/>
  <c r="B814" i="4"/>
  <c r="B813" i="4"/>
  <c r="B812" i="4"/>
  <c r="B811" i="4"/>
  <c r="B810" i="4"/>
  <c r="B809" i="4"/>
  <c r="B808" i="4"/>
  <c r="B807" i="4"/>
  <c r="B806" i="4"/>
  <c r="B805" i="4"/>
  <c r="B804" i="4"/>
  <c r="B803" i="4"/>
  <c r="B802" i="4"/>
  <c r="B801" i="4"/>
  <c r="B800" i="4"/>
  <c r="B799" i="4"/>
  <c r="B798" i="4"/>
  <c r="B797" i="4"/>
  <c r="B796" i="4"/>
  <c r="B795" i="4"/>
  <c r="B794" i="4"/>
  <c r="B793" i="4"/>
  <c r="B792" i="4"/>
  <c r="B791" i="4"/>
  <c r="B790" i="4"/>
  <c r="B789" i="4"/>
  <c r="B788" i="4"/>
  <c r="B787" i="4"/>
  <c r="B786" i="4"/>
  <c r="B785" i="4"/>
  <c r="B784" i="4"/>
  <c r="B783" i="4"/>
  <c r="B782" i="4"/>
  <c r="B781" i="4"/>
  <c r="B780" i="4"/>
  <c r="B779" i="4"/>
  <c r="B778" i="4"/>
  <c r="B777" i="4"/>
  <c r="B776" i="4"/>
  <c r="B775" i="4"/>
  <c r="B774" i="4"/>
  <c r="B773" i="4"/>
  <c r="B772" i="4"/>
  <c r="B771" i="4"/>
  <c r="B770" i="4"/>
  <c r="B769" i="4"/>
  <c r="B768" i="4"/>
  <c r="B767" i="4"/>
  <c r="B766" i="4"/>
  <c r="B765" i="4"/>
  <c r="B764" i="4"/>
  <c r="B763" i="4"/>
  <c r="B762" i="4"/>
  <c r="B761" i="4"/>
  <c r="B760" i="4"/>
  <c r="B759" i="4"/>
  <c r="B758" i="4"/>
  <c r="B757" i="4"/>
  <c r="B756" i="4"/>
  <c r="B755" i="4"/>
  <c r="B754" i="4"/>
  <c r="B753" i="4"/>
  <c r="B752" i="4"/>
  <c r="B751" i="4"/>
  <c r="B750" i="4"/>
  <c r="B749" i="4"/>
  <c r="B748" i="4"/>
  <c r="B747" i="4"/>
  <c r="B746" i="4"/>
  <c r="B745" i="4"/>
  <c r="B744" i="4"/>
  <c r="B743" i="4"/>
  <c r="B742" i="4"/>
  <c r="B741" i="4"/>
  <c r="B740" i="4"/>
  <c r="B739" i="4"/>
  <c r="B738" i="4"/>
  <c r="B737" i="4"/>
  <c r="B736" i="4"/>
  <c r="B735" i="4"/>
  <c r="B734" i="4"/>
  <c r="B733" i="4"/>
  <c r="B732" i="4"/>
  <c r="B731" i="4"/>
  <c r="B730" i="4"/>
  <c r="B729" i="4"/>
  <c r="B728" i="4"/>
  <c r="B727" i="4"/>
  <c r="B726" i="4"/>
  <c r="B725" i="4"/>
  <c r="B724" i="4"/>
  <c r="B723" i="4"/>
  <c r="B722" i="4"/>
  <c r="B721" i="4"/>
  <c r="B720" i="4"/>
  <c r="B719" i="4"/>
  <c r="B718" i="4"/>
  <c r="B717" i="4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694" i="4"/>
  <c r="B693" i="4"/>
  <c r="B692" i="4"/>
  <c r="B691" i="4"/>
  <c r="B690" i="4"/>
  <c r="B689" i="4"/>
  <c r="B688" i="4"/>
  <c r="B687" i="4"/>
  <c r="B686" i="4"/>
  <c r="B685" i="4"/>
  <c r="B684" i="4"/>
  <c r="B683" i="4"/>
  <c r="B682" i="4"/>
  <c r="B681" i="4"/>
  <c r="B680" i="4"/>
  <c r="B679" i="4"/>
  <c r="B678" i="4"/>
  <c r="B677" i="4"/>
  <c r="B676" i="4"/>
  <c r="B675" i="4"/>
  <c r="B674" i="4"/>
  <c r="B673" i="4"/>
  <c r="B672" i="4"/>
  <c r="B671" i="4"/>
  <c r="B670" i="4"/>
  <c r="B669" i="4"/>
  <c r="B668" i="4"/>
  <c r="B667" i="4"/>
  <c r="B666" i="4"/>
  <c r="B665" i="4"/>
  <c r="B664" i="4"/>
  <c r="B663" i="4"/>
  <c r="B662" i="4"/>
  <c r="B661" i="4"/>
  <c r="B660" i="4"/>
  <c r="B659" i="4"/>
  <c r="B658" i="4"/>
  <c r="B657" i="4"/>
  <c r="B656" i="4"/>
  <c r="B655" i="4"/>
  <c r="B654" i="4"/>
  <c r="B653" i="4"/>
  <c r="B652" i="4"/>
  <c r="B651" i="4"/>
  <c r="B650" i="4"/>
  <c r="B649" i="4"/>
  <c r="B648" i="4"/>
  <c r="B647" i="4"/>
  <c r="B646" i="4"/>
  <c r="B645" i="4"/>
  <c r="B644" i="4"/>
  <c r="B643" i="4"/>
  <c r="B642" i="4"/>
  <c r="B641" i="4"/>
  <c r="B640" i="4"/>
  <c r="B639" i="4"/>
  <c r="B638" i="4"/>
  <c r="B637" i="4"/>
  <c r="B636" i="4"/>
  <c r="B635" i="4"/>
  <c r="B634" i="4"/>
  <c r="B633" i="4"/>
  <c r="B632" i="4"/>
  <c r="B631" i="4"/>
  <c r="B630" i="4"/>
  <c r="B629" i="4"/>
  <c r="B628" i="4"/>
  <c r="B627" i="4"/>
  <c r="B626" i="4"/>
  <c r="B625" i="4"/>
  <c r="B624" i="4"/>
  <c r="B623" i="4"/>
  <c r="B622" i="4"/>
  <c r="B621" i="4"/>
  <c r="B620" i="4"/>
  <c r="B619" i="4"/>
  <c r="B618" i="4"/>
  <c r="B617" i="4"/>
  <c r="B616" i="4"/>
  <c r="B615" i="4"/>
  <c r="B614" i="4"/>
  <c r="B613" i="4"/>
  <c r="B612" i="4"/>
  <c r="B611" i="4"/>
  <c r="B610" i="4"/>
  <c r="B609" i="4"/>
  <c r="B608" i="4"/>
  <c r="B607" i="4"/>
  <c r="B606" i="4"/>
  <c r="B605" i="4"/>
  <c r="B604" i="4"/>
  <c r="B603" i="4"/>
  <c r="B602" i="4"/>
  <c r="B601" i="4"/>
  <c r="B600" i="4"/>
  <c r="B599" i="4"/>
  <c r="B598" i="4"/>
  <c r="B597" i="4"/>
  <c r="B596" i="4"/>
  <c r="B595" i="4"/>
  <c r="B594" i="4"/>
  <c r="B593" i="4"/>
  <c r="B592" i="4"/>
  <c r="B591" i="4"/>
  <c r="B590" i="4"/>
  <c r="B589" i="4"/>
  <c r="B588" i="4"/>
  <c r="B587" i="4"/>
  <c r="B586" i="4"/>
  <c r="B585" i="4"/>
  <c r="B584" i="4"/>
  <c r="B583" i="4"/>
  <c r="B582" i="4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B566" i="4"/>
  <c r="B565" i="4"/>
  <c r="B564" i="4"/>
  <c r="B563" i="4"/>
  <c r="B562" i="4"/>
  <c r="B561" i="4"/>
  <c r="B560" i="4"/>
  <c r="B559" i="4"/>
  <c r="B558" i="4"/>
  <c r="B557" i="4"/>
  <c r="B556" i="4"/>
  <c r="B555" i="4"/>
  <c r="B554" i="4"/>
  <c r="B553" i="4"/>
  <c r="B552" i="4"/>
  <c r="B551" i="4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B531" i="4"/>
  <c r="B530" i="4"/>
  <c r="B529" i="4"/>
  <c r="B528" i="4"/>
  <c r="B527" i="4"/>
  <c r="B526" i="4"/>
  <c r="B525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J27" i="4"/>
  <c r="B27" i="4"/>
  <c r="J26" i="4"/>
  <c r="B26" i="4"/>
  <c r="J25" i="4"/>
  <c r="B25" i="4"/>
  <c r="B24" i="4"/>
  <c r="J23" i="4"/>
  <c r="B23" i="4"/>
  <c r="B22" i="4"/>
  <c r="B21" i="4"/>
  <c r="J20" i="4"/>
  <c r="B20" i="4"/>
  <c r="B19" i="4"/>
  <c r="B18" i="4"/>
  <c r="B17" i="4"/>
  <c r="B16" i="4"/>
  <c r="J15" i="4"/>
  <c r="B15" i="4"/>
  <c r="B14" i="4"/>
  <c r="J13" i="4"/>
  <c r="B13" i="4"/>
  <c r="B12" i="4"/>
  <c r="B11" i="4"/>
  <c r="B10" i="4"/>
  <c r="B9" i="4"/>
  <c r="B8" i="4"/>
  <c r="B7" i="4"/>
  <c r="B6" i="4"/>
  <c r="B5" i="4"/>
  <c r="B4" i="4"/>
  <c r="B2445" i="2"/>
  <c r="B2444" i="2"/>
  <c r="B2443" i="2"/>
  <c r="B2442" i="2"/>
  <c r="B2441" i="2"/>
  <c r="B2440" i="2"/>
  <c r="B2439" i="2"/>
  <c r="B2438" i="2"/>
  <c r="B2437" i="2"/>
  <c r="B2436" i="2"/>
  <c r="B2435" i="2"/>
  <c r="B2434" i="2"/>
  <c r="B2433" i="2"/>
  <c r="B2432" i="2"/>
  <c r="B2431" i="2"/>
  <c r="B2430" i="2"/>
  <c r="B2429" i="2"/>
  <c r="B2428" i="2"/>
  <c r="B2427" i="2"/>
  <c r="B2426" i="2"/>
  <c r="B2425" i="2"/>
  <c r="B2424" i="2"/>
  <c r="B2423" i="2"/>
  <c r="B2422" i="2"/>
  <c r="B2421" i="2"/>
  <c r="B2420" i="2"/>
  <c r="B2419" i="2"/>
  <c r="B2418" i="2"/>
  <c r="B2417" i="2"/>
  <c r="B2416" i="2"/>
  <c r="B2415" i="2"/>
  <c r="B2414" i="2"/>
  <c r="B2413" i="2"/>
  <c r="B2412" i="2"/>
  <c r="B2411" i="2"/>
  <c r="B2410" i="2"/>
  <c r="B2409" i="2"/>
  <c r="B2408" i="2"/>
  <c r="B2407" i="2"/>
  <c r="B2406" i="2"/>
  <c r="B2405" i="2"/>
  <c r="B2404" i="2"/>
  <c r="B2403" i="2"/>
  <c r="B2402" i="2"/>
  <c r="B2401" i="2"/>
  <c r="B2400" i="2"/>
  <c r="B2399" i="2"/>
  <c r="B2398" i="2"/>
  <c r="B2397" i="2"/>
  <c r="B2396" i="2"/>
  <c r="B2395" i="2"/>
  <c r="B2394" i="2"/>
  <c r="B2393" i="2"/>
  <c r="B2392" i="2"/>
  <c r="B2391" i="2"/>
  <c r="B2390" i="2"/>
  <c r="B2389" i="2"/>
  <c r="B2388" i="2"/>
  <c r="B2387" i="2"/>
  <c r="B2386" i="2"/>
  <c r="B2385" i="2"/>
  <c r="B2384" i="2"/>
  <c r="B2383" i="2"/>
  <c r="B2382" i="2"/>
  <c r="B2381" i="2"/>
  <c r="B2380" i="2"/>
  <c r="B2379" i="2"/>
  <c r="B2378" i="2"/>
  <c r="B2377" i="2"/>
  <c r="B2376" i="2"/>
  <c r="B2375" i="2"/>
  <c r="B2374" i="2"/>
  <c r="B2373" i="2"/>
  <c r="B2372" i="2"/>
  <c r="B2371" i="2"/>
  <c r="B2370" i="2"/>
  <c r="B2369" i="2"/>
  <c r="B2368" i="2"/>
  <c r="B2367" i="2"/>
  <c r="B2366" i="2"/>
  <c r="B2365" i="2"/>
  <c r="B2364" i="2"/>
  <c r="B2363" i="2"/>
  <c r="B2362" i="2"/>
  <c r="B2361" i="2"/>
  <c r="B2360" i="2"/>
  <c r="B2359" i="2"/>
  <c r="B2358" i="2"/>
  <c r="B2357" i="2"/>
  <c r="B2356" i="2"/>
  <c r="B2355" i="2"/>
  <c r="B2354" i="2"/>
  <c r="B2353" i="2"/>
  <c r="B2352" i="2"/>
  <c r="B2351" i="2"/>
  <c r="B2350" i="2"/>
  <c r="B2349" i="2"/>
  <c r="B2348" i="2"/>
  <c r="B2347" i="2"/>
  <c r="B2346" i="2"/>
  <c r="B2345" i="2"/>
  <c r="B2344" i="2"/>
  <c r="B2343" i="2"/>
  <c r="B2342" i="2"/>
  <c r="B2341" i="2"/>
  <c r="B2340" i="2"/>
  <c r="B2339" i="2"/>
  <c r="B2338" i="2"/>
  <c r="B2337" i="2"/>
  <c r="B2336" i="2"/>
  <c r="B2335" i="2"/>
  <c r="B2334" i="2"/>
  <c r="B2333" i="2"/>
  <c r="B2332" i="2"/>
  <c r="B2331" i="2"/>
  <c r="B2330" i="2"/>
  <c r="B2329" i="2"/>
  <c r="B2328" i="2"/>
  <c r="B2327" i="2"/>
  <c r="B2326" i="2"/>
  <c r="B2325" i="2"/>
  <c r="B2324" i="2"/>
  <c r="B2323" i="2"/>
  <c r="B2322" i="2"/>
  <c r="B2321" i="2"/>
  <c r="B2320" i="2"/>
  <c r="B2319" i="2"/>
  <c r="B2318" i="2"/>
  <c r="B2317" i="2"/>
  <c r="B2316" i="2"/>
  <c r="B2315" i="2"/>
  <c r="B2314" i="2"/>
  <c r="B2313" i="2"/>
  <c r="B2312" i="2"/>
  <c r="B2311" i="2"/>
  <c r="B2310" i="2"/>
  <c r="B2309" i="2"/>
  <c r="B2308" i="2"/>
  <c r="B2307" i="2"/>
  <c r="B2306" i="2"/>
  <c r="B2305" i="2"/>
  <c r="B2304" i="2"/>
  <c r="B2303" i="2"/>
  <c r="B2302" i="2"/>
  <c r="B2301" i="2"/>
  <c r="B2300" i="2"/>
  <c r="B2299" i="2"/>
  <c r="B2298" i="2"/>
  <c r="B2297" i="2"/>
  <c r="B2296" i="2"/>
  <c r="B2295" i="2"/>
  <c r="B2294" i="2"/>
  <c r="B2293" i="2"/>
  <c r="B2292" i="2"/>
  <c r="B2291" i="2"/>
  <c r="B2290" i="2"/>
  <c r="B2289" i="2"/>
  <c r="B2288" i="2"/>
  <c r="B2287" i="2"/>
  <c r="B2286" i="2"/>
  <c r="B2285" i="2"/>
  <c r="B2284" i="2"/>
  <c r="B2283" i="2"/>
  <c r="B2282" i="2"/>
  <c r="B2281" i="2"/>
  <c r="B2280" i="2"/>
  <c r="B2279" i="2"/>
  <c r="B2278" i="2"/>
  <c r="B2277" i="2"/>
  <c r="B2276" i="2"/>
  <c r="B2275" i="2"/>
  <c r="B2274" i="2"/>
  <c r="B2273" i="2"/>
  <c r="B2272" i="2"/>
  <c r="B2271" i="2"/>
  <c r="B2270" i="2"/>
  <c r="B2269" i="2"/>
  <c r="B2268" i="2"/>
  <c r="B2267" i="2"/>
  <c r="B2266" i="2"/>
  <c r="B2265" i="2"/>
  <c r="B2264" i="2"/>
  <c r="B2263" i="2"/>
  <c r="B2262" i="2"/>
  <c r="B2261" i="2"/>
  <c r="B2260" i="2"/>
  <c r="B2259" i="2"/>
  <c r="B2258" i="2"/>
  <c r="B2257" i="2"/>
  <c r="B2256" i="2"/>
  <c r="B2255" i="2"/>
  <c r="B2254" i="2"/>
  <c r="B2253" i="2"/>
  <c r="B2252" i="2"/>
  <c r="B2251" i="2"/>
  <c r="B2250" i="2"/>
  <c r="B2249" i="2"/>
  <c r="B2248" i="2"/>
  <c r="B2247" i="2"/>
  <c r="B2246" i="2"/>
  <c r="B2245" i="2"/>
  <c r="B2244" i="2"/>
  <c r="B2243" i="2"/>
  <c r="B2242" i="2"/>
  <c r="B2241" i="2"/>
  <c r="B2240" i="2"/>
  <c r="B2239" i="2"/>
  <c r="B2238" i="2"/>
  <c r="B2237" i="2"/>
  <c r="B2236" i="2"/>
  <c r="B2235" i="2"/>
  <c r="B2234" i="2"/>
  <c r="B2233" i="2"/>
  <c r="B2232" i="2"/>
  <c r="B2231" i="2"/>
  <c r="B2230" i="2"/>
  <c r="B2229" i="2"/>
  <c r="B2228" i="2"/>
  <c r="B2227" i="2"/>
  <c r="B2226" i="2"/>
  <c r="B2225" i="2"/>
  <c r="B2224" i="2"/>
  <c r="B2223" i="2"/>
  <c r="B2222" i="2"/>
  <c r="B2221" i="2"/>
  <c r="B2220" i="2"/>
  <c r="B2219" i="2"/>
  <c r="B2218" i="2"/>
  <c r="B2217" i="2"/>
  <c r="B2216" i="2"/>
  <c r="B2215" i="2"/>
  <c r="B2214" i="2"/>
  <c r="B2213" i="2"/>
  <c r="B2212" i="2"/>
  <c r="B2211" i="2"/>
  <c r="B2210" i="2"/>
  <c r="B2209" i="2"/>
  <c r="B2208" i="2"/>
  <c r="B2207" i="2"/>
  <c r="B2206" i="2"/>
  <c r="B2205" i="2"/>
  <c r="B2204" i="2"/>
  <c r="B2203" i="2"/>
  <c r="B2202" i="2"/>
  <c r="B2201" i="2"/>
  <c r="B2200" i="2"/>
  <c r="B2199" i="2"/>
  <c r="B2198" i="2"/>
  <c r="B2197" i="2"/>
  <c r="B2196" i="2"/>
  <c r="B2195" i="2"/>
  <c r="B2194" i="2"/>
  <c r="B2193" i="2"/>
  <c r="B2192" i="2"/>
  <c r="B2191" i="2"/>
  <c r="B2190" i="2"/>
  <c r="B2189" i="2"/>
  <c r="B2188" i="2"/>
  <c r="B2187" i="2"/>
  <c r="B2186" i="2"/>
  <c r="B2185" i="2"/>
  <c r="B2184" i="2"/>
  <c r="B2183" i="2"/>
  <c r="B2182" i="2"/>
  <c r="B2181" i="2"/>
  <c r="B2180" i="2"/>
  <c r="B2179" i="2"/>
  <c r="B2178" i="2"/>
  <c r="B2177" i="2"/>
  <c r="B2176" i="2"/>
  <c r="B2175" i="2"/>
  <c r="B2174" i="2"/>
  <c r="B2173" i="2"/>
  <c r="B2172" i="2"/>
  <c r="B2171" i="2"/>
  <c r="B2170" i="2"/>
  <c r="B2169" i="2"/>
  <c r="B2168" i="2"/>
  <c r="B2167" i="2"/>
  <c r="B2166" i="2"/>
  <c r="B2165" i="2"/>
  <c r="B2164" i="2"/>
  <c r="B2163" i="2"/>
  <c r="B2162" i="2"/>
  <c r="B2161" i="2"/>
  <c r="B2160" i="2"/>
  <c r="B2159" i="2"/>
  <c r="B2158" i="2"/>
  <c r="B2157" i="2"/>
  <c r="B2156" i="2"/>
  <c r="B2155" i="2"/>
  <c r="B2154" i="2"/>
  <c r="B2153" i="2"/>
  <c r="B2152" i="2"/>
  <c r="B2151" i="2"/>
  <c r="B2150" i="2"/>
  <c r="B2149" i="2"/>
  <c r="B2148" i="2"/>
  <c r="B2147" i="2"/>
  <c r="B2146" i="2"/>
  <c r="B2145" i="2"/>
  <c r="B2144" i="2"/>
  <c r="B2143" i="2"/>
  <c r="B2142" i="2"/>
  <c r="B2141" i="2"/>
  <c r="B2140" i="2"/>
  <c r="B2139" i="2"/>
  <c r="B2138" i="2"/>
  <c r="B2137" i="2"/>
  <c r="B2136" i="2"/>
  <c r="B2135" i="2"/>
  <c r="B2134" i="2"/>
  <c r="B2133" i="2"/>
  <c r="B2132" i="2"/>
  <c r="B2131" i="2"/>
  <c r="B2130" i="2"/>
  <c r="B2129" i="2"/>
  <c r="B2128" i="2"/>
  <c r="B2127" i="2"/>
  <c r="B2126" i="2"/>
  <c r="B2125" i="2"/>
  <c r="B2124" i="2"/>
  <c r="B2123" i="2"/>
  <c r="B2122" i="2"/>
  <c r="B2121" i="2"/>
  <c r="B2120" i="2"/>
  <c r="B2119" i="2"/>
  <c r="B2118" i="2"/>
  <c r="B2117" i="2"/>
  <c r="B2116" i="2"/>
  <c r="B2115" i="2"/>
  <c r="B2114" i="2"/>
  <c r="B2113" i="2"/>
  <c r="B2112" i="2"/>
  <c r="B2111" i="2"/>
  <c r="B2110" i="2"/>
  <c r="B2109" i="2"/>
  <c r="B2108" i="2"/>
  <c r="B2107" i="2"/>
  <c r="B2106" i="2"/>
  <c r="B2105" i="2"/>
  <c r="B2104" i="2"/>
  <c r="B2103" i="2"/>
  <c r="B2102" i="2"/>
  <c r="B2101" i="2"/>
  <c r="B2100" i="2"/>
  <c r="B2099" i="2"/>
  <c r="B2098" i="2"/>
  <c r="B2097" i="2"/>
  <c r="B2096" i="2"/>
  <c r="B2095" i="2"/>
  <c r="B2094" i="2"/>
  <c r="B2093" i="2"/>
  <c r="B2092" i="2"/>
  <c r="B2091" i="2"/>
  <c r="B2090" i="2"/>
  <c r="B2089" i="2"/>
  <c r="B2088" i="2"/>
  <c r="B2087" i="2"/>
  <c r="B2086" i="2"/>
  <c r="B2085" i="2"/>
  <c r="B2084" i="2"/>
  <c r="B2083" i="2"/>
  <c r="B2082" i="2"/>
  <c r="B2081" i="2"/>
  <c r="B2080" i="2"/>
  <c r="B2079" i="2"/>
  <c r="B2078" i="2"/>
  <c r="B2077" i="2"/>
  <c r="B2076" i="2"/>
  <c r="B2075" i="2"/>
  <c r="B2074" i="2"/>
  <c r="B2073" i="2"/>
  <c r="B2072" i="2"/>
  <c r="B2071" i="2"/>
  <c r="B2070" i="2"/>
  <c r="B2069" i="2"/>
  <c r="B2068" i="2"/>
  <c r="B2067" i="2"/>
  <c r="B2066" i="2"/>
  <c r="B2065" i="2"/>
  <c r="B2064" i="2"/>
  <c r="B2063" i="2"/>
  <c r="B2062" i="2"/>
  <c r="B2061" i="2"/>
  <c r="B2060" i="2"/>
  <c r="B2059" i="2"/>
  <c r="B2058" i="2"/>
  <c r="B2057" i="2"/>
  <c r="B2056" i="2"/>
  <c r="B2055" i="2"/>
  <c r="B2054" i="2"/>
  <c r="B2053" i="2"/>
  <c r="B2052" i="2"/>
  <c r="B2051" i="2"/>
  <c r="B2050" i="2"/>
  <c r="B2049" i="2"/>
  <c r="B2048" i="2"/>
  <c r="B2047" i="2"/>
  <c r="B2046" i="2"/>
  <c r="B2045" i="2"/>
  <c r="B2044" i="2"/>
  <c r="B2043" i="2"/>
  <c r="B2042" i="2"/>
  <c r="B2041" i="2"/>
  <c r="B2040" i="2"/>
  <c r="B2039" i="2"/>
  <c r="B2038" i="2"/>
  <c r="B2037" i="2"/>
  <c r="B2036" i="2"/>
  <c r="B2035" i="2"/>
  <c r="B2034" i="2"/>
  <c r="B2033" i="2"/>
  <c r="B2032" i="2"/>
  <c r="B2031" i="2"/>
  <c r="B2030" i="2"/>
  <c r="B2029" i="2"/>
  <c r="B2028" i="2"/>
  <c r="B2027" i="2"/>
  <c r="B2026" i="2"/>
  <c r="B2025" i="2"/>
  <c r="B2024" i="2"/>
  <c r="B2023" i="2"/>
  <c r="B2022" i="2"/>
  <c r="B2021" i="2"/>
  <c r="B2020" i="2"/>
  <c r="B2019" i="2"/>
  <c r="B2018" i="2"/>
  <c r="B2017" i="2"/>
  <c r="B2016" i="2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J27" i="2"/>
  <c r="B27" i="2"/>
  <c r="J26" i="2"/>
  <c r="B26" i="2"/>
  <c r="J25" i="2"/>
  <c r="B25" i="2"/>
  <c r="B24" i="2"/>
  <c r="J23" i="2"/>
  <c r="B23" i="2"/>
  <c r="B22" i="2"/>
  <c r="B21" i="2"/>
  <c r="J20" i="2"/>
  <c r="B20" i="2"/>
  <c r="B19" i="2"/>
  <c r="B18" i="2"/>
  <c r="B17" i="2"/>
  <c r="B16" i="2"/>
  <c r="J15" i="2"/>
  <c r="B15" i="2"/>
  <c r="B14" i="2"/>
  <c r="J13" i="2"/>
  <c r="B13" i="2"/>
  <c r="B12" i="2"/>
  <c r="B11" i="2"/>
  <c r="B10" i="2"/>
  <c r="B9" i="2"/>
  <c r="B8" i="2"/>
  <c r="B7" i="2"/>
  <c r="B6" i="2"/>
  <c r="B5" i="2"/>
  <c r="B4" i="2"/>
  <c r="B2445" i="1"/>
  <c r="B2444" i="1"/>
  <c r="B2443" i="1"/>
  <c r="B2442" i="1"/>
  <c r="B2441" i="1"/>
  <c r="B2440" i="1"/>
  <c r="B2439" i="1"/>
  <c r="B2438" i="1"/>
  <c r="B2437" i="1"/>
  <c r="B2436" i="1"/>
  <c r="B2435" i="1"/>
  <c r="B2434" i="1"/>
  <c r="B2433" i="1"/>
  <c r="B2432" i="1"/>
  <c r="B2431" i="1"/>
  <c r="B2430" i="1"/>
  <c r="B2429" i="1"/>
  <c r="B2428" i="1"/>
  <c r="B2427" i="1"/>
  <c r="B2426" i="1"/>
  <c r="B2425" i="1"/>
  <c r="B2424" i="1"/>
  <c r="B2423" i="1"/>
  <c r="B2422" i="1"/>
  <c r="B2421" i="1"/>
  <c r="B2420" i="1"/>
  <c r="B2419" i="1"/>
  <c r="B2418" i="1"/>
  <c r="B2417" i="1"/>
  <c r="B2416" i="1"/>
  <c r="B2415" i="1"/>
  <c r="B2414" i="1"/>
  <c r="B2413" i="1"/>
  <c r="B2412" i="1"/>
  <c r="B2411" i="1"/>
  <c r="B2410" i="1"/>
  <c r="B2409" i="1"/>
  <c r="B2408" i="1"/>
  <c r="B2407" i="1"/>
  <c r="B2406" i="1"/>
  <c r="B2405" i="1"/>
  <c r="B2404" i="1"/>
  <c r="B2403" i="1"/>
  <c r="B2402" i="1"/>
  <c r="B2401" i="1"/>
  <c r="B2400" i="1"/>
  <c r="B2399" i="1"/>
  <c r="B2398" i="1"/>
  <c r="B2397" i="1"/>
  <c r="B2396" i="1"/>
  <c r="B2395" i="1"/>
  <c r="B2394" i="1"/>
  <c r="B2393" i="1"/>
  <c r="B2392" i="1"/>
  <c r="B2391" i="1"/>
  <c r="B2390" i="1"/>
  <c r="B2389" i="1"/>
  <c r="B2388" i="1"/>
  <c r="B2387" i="1"/>
  <c r="B2386" i="1"/>
  <c r="B2385" i="1"/>
  <c r="B2384" i="1"/>
  <c r="B2383" i="1"/>
  <c r="B2382" i="1"/>
  <c r="B2381" i="1"/>
  <c r="B2380" i="1"/>
  <c r="B2379" i="1"/>
  <c r="B2378" i="1"/>
  <c r="B2377" i="1"/>
  <c r="B2376" i="1"/>
  <c r="B2375" i="1"/>
  <c r="B2374" i="1"/>
  <c r="B2373" i="1"/>
  <c r="B2372" i="1"/>
  <c r="B2371" i="1"/>
  <c r="B2370" i="1"/>
  <c r="B2369" i="1"/>
  <c r="B2368" i="1"/>
  <c r="B2367" i="1"/>
  <c r="B2366" i="1"/>
  <c r="B2365" i="1"/>
  <c r="B2364" i="1"/>
  <c r="B2363" i="1"/>
  <c r="B2362" i="1"/>
  <c r="B2361" i="1"/>
  <c r="B2360" i="1"/>
  <c r="B2359" i="1"/>
  <c r="B2358" i="1"/>
  <c r="B2357" i="1"/>
  <c r="B2356" i="1"/>
  <c r="B2355" i="1"/>
  <c r="B2354" i="1"/>
  <c r="B2353" i="1"/>
  <c r="B2352" i="1"/>
  <c r="B2351" i="1"/>
  <c r="B2350" i="1"/>
  <c r="B2349" i="1"/>
  <c r="B2348" i="1"/>
  <c r="B2347" i="1"/>
  <c r="B2346" i="1"/>
  <c r="B2345" i="1"/>
  <c r="B2344" i="1"/>
  <c r="B2343" i="1"/>
  <c r="B2342" i="1"/>
  <c r="B2341" i="1"/>
  <c r="B2340" i="1"/>
  <c r="B2339" i="1"/>
  <c r="B2338" i="1"/>
  <c r="B2337" i="1"/>
  <c r="B2336" i="1"/>
  <c r="B2335" i="1"/>
  <c r="B2334" i="1"/>
  <c r="B2333" i="1"/>
  <c r="B2332" i="1"/>
  <c r="B2331" i="1"/>
  <c r="B2330" i="1"/>
  <c r="B2329" i="1"/>
  <c r="B2328" i="1"/>
  <c r="B2327" i="1"/>
  <c r="B2326" i="1"/>
  <c r="B2325" i="1"/>
  <c r="B2324" i="1"/>
  <c r="B2323" i="1"/>
  <c r="B2322" i="1"/>
  <c r="B2321" i="1"/>
  <c r="B2320" i="1"/>
  <c r="B2319" i="1"/>
  <c r="B2318" i="1"/>
  <c r="B2317" i="1"/>
  <c r="B2316" i="1"/>
  <c r="B2315" i="1"/>
  <c r="B2314" i="1"/>
  <c r="B2313" i="1"/>
  <c r="B2312" i="1"/>
  <c r="B2311" i="1"/>
  <c r="B2310" i="1"/>
  <c r="B2309" i="1"/>
  <c r="B2308" i="1"/>
  <c r="B2307" i="1"/>
  <c r="B2306" i="1"/>
  <c r="B2305" i="1"/>
  <c r="B2304" i="1"/>
  <c r="B2303" i="1"/>
  <c r="B2302" i="1"/>
  <c r="B2301" i="1"/>
  <c r="B2300" i="1"/>
  <c r="B2299" i="1"/>
  <c r="B2298" i="1"/>
  <c r="B2297" i="1"/>
  <c r="B2296" i="1"/>
  <c r="B2295" i="1"/>
  <c r="B2294" i="1"/>
  <c r="B2293" i="1"/>
  <c r="B2292" i="1"/>
  <c r="B2291" i="1"/>
  <c r="B2290" i="1"/>
  <c r="B2289" i="1"/>
  <c r="B2288" i="1"/>
  <c r="B2287" i="1"/>
  <c r="B2286" i="1"/>
  <c r="B2285" i="1"/>
  <c r="B2284" i="1"/>
  <c r="B2283" i="1"/>
  <c r="B2282" i="1"/>
  <c r="B2281" i="1"/>
  <c r="B2280" i="1"/>
  <c r="B2279" i="1"/>
  <c r="B2278" i="1"/>
  <c r="B2277" i="1"/>
  <c r="B2276" i="1"/>
  <c r="B2275" i="1"/>
  <c r="B2274" i="1"/>
  <c r="B2273" i="1"/>
  <c r="B2272" i="1"/>
  <c r="B2271" i="1"/>
  <c r="B2270" i="1"/>
  <c r="B2269" i="1"/>
  <c r="B2268" i="1"/>
  <c r="B2267" i="1"/>
  <c r="B2266" i="1"/>
  <c r="B2265" i="1"/>
  <c r="B2264" i="1"/>
  <c r="B2263" i="1"/>
  <c r="B2262" i="1"/>
  <c r="B2261" i="1"/>
  <c r="B2260" i="1"/>
  <c r="B2259" i="1"/>
  <c r="B2258" i="1"/>
  <c r="B2257" i="1"/>
  <c r="B2256" i="1"/>
  <c r="B2255" i="1"/>
  <c r="B2254" i="1"/>
  <c r="B2253" i="1"/>
  <c r="B2252" i="1"/>
  <c r="B2251" i="1"/>
  <c r="B2250" i="1"/>
  <c r="B2249" i="1"/>
  <c r="B2248" i="1"/>
  <c r="B2247" i="1"/>
  <c r="B2246" i="1"/>
  <c r="B2245" i="1"/>
  <c r="B2244" i="1"/>
  <c r="B2243" i="1"/>
  <c r="B2242" i="1"/>
  <c r="B2241" i="1"/>
  <c r="B2240" i="1"/>
  <c r="B2239" i="1"/>
  <c r="B2238" i="1"/>
  <c r="B2237" i="1"/>
  <c r="B2236" i="1"/>
  <c r="B2235" i="1"/>
  <c r="B2234" i="1"/>
  <c r="B2233" i="1"/>
  <c r="B2232" i="1"/>
  <c r="B2231" i="1"/>
  <c r="B2230" i="1"/>
  <c r="B2229" i="1"/>
  <c r="B2228" i="1"/>
  <c r="B2227" i="1"/>
  <c r="B2226" i="1"/>
  <c r="B2225" i="1"/>
  <c r="B2224" i="1"/>
  <c r="B2223" i="1"/>
  <c r="B2222" i="1"/>
  <c r="B2221" i="1"/>
  <c r="B2220" i="1"/>
  <c r="B2219" i="1"/>
  <c r="B2218" i="1"/>
  <c r="B2217" i="1"/>
  <c r="B2216" i="1"/>
  <c r="B2215" i="1"/>
  <c r="B2214" i="1"/>
  <c r="B2213" i="1"/>
  <c r="B2212" i="1"/>
  <c r="B2211" i="1"/>
  <c r="B2210" i="1"/>
  <c r="B2209" i="1"/>
  <c r="B2208" i="1"/>
  <c r="B2207" i="1"/>
  <c r="B2206" i="1"/>
  <c r="B2205" i="1"/>
  <c r="B2204" i="1"/>
  <c r="B2203" i="1"/>
  <c r="B2202" i="1"/>
  <c r="B2201" i="1"/>
  <c r="B2200" i="1"/>
  <c r="B2199" i="1"/>
  <c r="B2198" i="1"/>
  <c r="B2197" i="1"/>
  <c r="B2196" i="1"/>
  <c r="B2195" i="1"/>
  <c r="B2194" i="1"/>
  <c r="B2193" i="1"/>
  <c r="B2192" i="1"/>
  <c r="B2191" i="1"/>
  <c r="B2190" i="1"/>
  <c r="B2189" i="1"/>
  <c r="B2188" i="1"/>
  <c r="B2187" i="1"/>
  <c r="B2186" i="1"/>
  <c r="B2185" i="1"/>
  <c r="B2184" i="1"/>
  <c r="B2183" i="1"/>
  <c r="B2182" i="1"/>
  <c r="B2181" i="1"/>
  <c r="B2180" i="1"/>
  <c r="B2179" i="1"/>
  <c r="B2178" i="1"/>
  <c r="B2177" i="1"/>
  <c r="B2176" i="1"/>
  <c r="B2175" i="1"/>
  <c r="B2174" i="1"/>
  <c r="B2173" i="1"/>
  <c r="B2172" i="1"/>
  <c r="B2171" i="1"/>
  <c r="B2170" i="1"/>
  <c r="B2169" i="1"/>
  <c r="B2168" i="1"/>
  <c r="B2167" i="1"/>
  <c r="B2166" i="1"/>
  <c r="B2165" i="1"/>
  <c r="B2164" i="1"/>
  <c r="B2163" i="1"/>
  <c r="B2162" i="1"/>
  <c r="B2161" i="1"/>
  <c r="B2160" i="1"/>
  <c r="B2159" i="1"/>
  <c r="B2158" i="1"/>
  <c r="B2157" i="1"/>
  <c r="B2156" i="1"/>
  <c r="B2155" i="1"/>
  <c r="B2154" i="1"/>
  <c r="B2153" i="1"/>
  <c r="B2152" i="1"/>
  <c r="B2151" i="1"/>
  <c r="B2150" i="1"/>
  <c r="B2149" i="1"/>
  <c r="B2148" i="1"/>
  <c r="B2147" i="1"/>
  <c r="B2146" i="1"/>
  <c r="B2145" i="1"/>
  <c r="B2144" i="1"/>
  <c r="B2143" i="1"/>
  <c r="B2142" i="1"/>
  <c r="B2141" i="1"/>
  <c r="B2140" i="1"/>
  <c r="B2139" i="1"/>
  <c r="B2138" i="1"/>
  <c r="B2137" i="1"/>
  <c r="B2136" i="1"/>
  <c r="B2135" i="1"/>
  <c r="B2134" i="1"/>
  <c r="B2133" i="1"/>
  <c r="B2132" i="1"/>
  <c r="B2131" i="1"/>
  <c r="B2130" i="1"/>
  <c r="B2129" i="1"/>
  <c r="B2128" i="1"/>
  <c r="B2127" i="1"/>
  <c r="B2126" i="1"/>
  <c r="B2125" i="1"/>
  <c r="B2124" i="1"/>
  <c r="B2123" i="1"/>
  <c r="B2122" i="1"/>
  <c r="B2121" i="1"/>
  <c r="B2120" i="1"/>
  <c r="B2119" i="1"/>
  <c r="B2118" i="1"/>
  <c r="B2117" i="1"/>
  <c r="B2116" i="1"/>
  <c r="B2115" i="1"/>
  <c r="B2114" i="1"/>
  <c r="B2113" i="1"/>
  <c r="B2112" i="1"/>
  <c r="B2111" i="1"/>
  <c r="B2110" i="1"/>
  <c r="B2109" i="1"/>
  <c r="B2108" i="1"/>
  <c r="B2107" i="1"/>
  <c r="B2106" i="1"/>
  <c r="B2105" i="1"/>
  <c r="B2104" i="1"/>
  <c r="B2103" i="1"/>
  <c r="B2102" i="1"/>
  <c r="B2101" i="1"/>
  <c r="B2100" i="1"/>
  <c r="B2099" i="1"/>
  <c r="B2098" i="1"/>
  <c r="B2097" i="1"/>
  <c r="B2096" i="1"/>
  <c r="B2095" i="1"/>
  <c r="B2094" i="1"/>
  <c r="B2093" i="1"/>
  <c r="B2092" i="1"/>
  <c r="B2091" i="1"/>
  <c r="B2090" i="1"/>
  <c r="B2089" i="1"/>
  <c r="B2088" i="1"/>
  <c r="B2087" i="1"/>
  <c r="B2086" i="1"/>
  <c r="B2085" i="1"/>
  <c r="B2084" i="1"/>
  <c r="B2083" i="1"/>
  <c r="B2082" i="1"/>
  <c r="B2081" i="1"/>
  <c r="B2080" i="1"/>
  <c r="B2079" i="1"/>
  <c r="B2078" i="1"/>
  <c r="B2077" i="1"/>
  <c r="B2076" i="1"/>
  <c r="B2075" i="1"/>
  <c r="B2074" i="1"/>
  <c r="B2073" i="1"/>
  <c r="B2072" i="1"/>
  <c r="B2071" i="1"/>
  <c r="B2070" i="1"/>
  <c r="B2069" i="1"/>
  <c r="B2068" i="1"/>
  <c r="B2067" i="1"/>
  <c r="B2066" i="1"/>
  <c r="B2065" i="1"/>
  <c r="B2064" i="1"/>
  <c r="B2063" i="1"/>
  <c r="B2062" i="1"/>
  <c r="B2061" i="1"/>
  <c r="B2060" i="1"/>
  <c r="B2059" i="1"/>
  <c r="B2058" i="1"/>
  <c r="B2057" i="1"/>
  <c r="B2056" i="1"/>
  <c r="B2055" i="1"/>
  <c r="B2054" i="1"/>
  <c r="B2053" i="1"/>
  <c r="B2052" i="1"/>
  <c r="B2051" i="1"/>
  <c r="B2050" i="1"/>
  <c r="B2049" i="1"/>
  <c r="B2048" i="1"/>
  <c r="B2047" i="1"/>
  <c r="B2046" i="1"/>
  <c r="B2045" i="1"/>
  <c r="B2044" i="1"/>
  <c r="B2043" i="1"/>
  <c r="B2042" i="1"/>
  <c r="B2041" i="1"/>
  <c r="B2040" i="1"/>
  <c r="B2039" i="1"/>
  <c r="B2038" i="1"/>
  <c r="B2037" i="1"/>
  <c r="B2036" i="1"/>
  <c r="B2035" i="1"/>
  <c r="B2034" i="1"/>
  <c r="B2033" i="1"/>
  <c r="B2032" i="1"/>
  <c r="B2031" i="1"/>
  <c r="B2030" i="1"/>
  <c r="B2029" i="1"/>
  <c r="B2028" i="1"/>
  <c r="B2027" i="1"/>
  <c r="B2026" i="1"/>
  <c r="B2025" i="1"/>
  <c r="B2024" i="1"/>
  <c r="B2023" i="1"/>
  <c r="B2022" i="1"/>
  <c r="B2021" i="1"/>
  <c r="B2020" i="1"/>
  <c r="B2019" i="1"/>
  <c r="B2018" i="1"/>
  <c r="B2017" i="1"/>
  <c r="B2016" i="1"/>
  <c r="B2015" i="1"/>
  <c r="B2014" i="1"/>
  <c r="B2013" i="1"/>
  <c r="B2012" i="1"/>
  <c r="B2011" i="1"/>
  <c r="B2010" i="1"/>
  <c r="B2009" i="1"/>
  <c r="B2008" i="1"/>
  <c r="B2007" i="1"/>
  <c r="B2006" i="1"/>
  <c r="B2005" i="1"/>
  <c r="B2004" i="1"/>
  <c r="B2003" i="1"/>
  <c r="B2002" i="1"/>
  <c r="B2001" i="1"/>
  <c r="B2000" i="1"/>
  <c r="B1999" i="1"/>
  <c r="B1998" i="1"/>
  <c r="B1997" i="1"/>
  <c r="B1996" i="1"/>
  <c r="B1995" i="1"/>
  <c r="B1994" i="1"/>
  <c r="B1993" i="1"/>
  <c r="B1992" i="1"/>
  <c r="B1991" i="1"/>
  <c r="B1990" i="1"/>
  <c r="B1989" i="1"/>
  <c r="B1988" i="1"/>
  <c r="B1987" i="1"/>
  <c r="B1986" i="1"/>
  <c r="B1985" i="1"/>
  <c r="B1984" i="1"/>
  <c r="B1983" i="1"/>
  <c r="B1982" i="1"/>
  <c r="B1981" i="1"/>
  <c r="B1980" i="1"/>
  <c r="B1979" i="1"/>
  <c r="B1978" i="1"/>
  <c r="B1977" i="1"/>
  <c r="B1976" i="1"/>
  <c r="B1975" i="1"/>
  <c r="B1974" i="1"/>
  <c r="B1973" i="1"/>
  <c r="B1972" i="1"/>
  <c r="B1971" i="1"/>
  <c r="B1970" i="1"/>
  <c r="B1969" i="1"/>
  <c r="B1968" i="1"/>
  <c r="B1967" i="1"/>
  <c r="B1966" i="1"/>
  <c r="B1965" i="1"/>
  <c r="B1964" i="1"/>
  <c r="B1963" i="1"/>
  <c r="B1962" i="1"/>
  <c r="B1961" i="1"/>
  <c r="B1960" i="1"/>
  <c r="B1959" i="1"/>
  <c r="B1958" i="1"/>
  <c r="B1957" i="1"/>
  <c r="B1956" i="1"/>
  <c r="B1955" i="1"/>
  <c r="B1954" i="1"/>
  <c r="B1953" i="1"/>
  <c r="B1952" i="1"/>
  <c r="B1951" i="1"/>
  <c r="B1950" i="1"/>
  <c r="B1949" i="1"/>
  <c r="B1948" i="1"/>
  <c r="B1947" i="1"/>
  <c r="B1946" i="1"/>
  <c r="B1945" i="1"/>
  <c r="B1944" i="1"/>
  <c r="B1943" i="1"/>
  <c r="B1942" i="1"/>
  <c r="B1941" i="1"/>
  <c r="B1940" i="1"/>
  <c r="B1939" i="1"/>
  <c r="B1938" i="1"/>
  <c r="B1937" i="1"/>
  <c r="B1936" i="1"/>
  <c r="B1935" i="1"/>
  <c r="B1934" i="1"/>
  <c r="B1933" i="1"/>
  <c r="B1932" i="1"/>
  <c r="B1931" i="1"/>
  <c r="B1930" i="1"/>
  <c r="B1929" i="1"/>
  <c r="B1928" i="1"/>
  <c r="B1927" i="1"/>
  <c r="B1926" i="1"/>
  <c r="B1925" i="1"/>
  <c r="B1924" i="1"/>
  <c r="B1923" i="1"/>
  <c r="B1922" i="1"/>
  <c r="B1921" i="1"/>
  <c r="B1920" i="1"/>
  <c r="B1919" i="1"/>
  <c r="B1918" i="1"/>
  <c r="B1917" i="1"/>
  <c r="B1916" i="1"/>
  <c r="B1915" i="1"/>
  <c r="B1914" i="1"/>
  <c r="B1913" i="1"/>
  <c r="B1912" i="1"/>
  <c r="B1911" i="1"/>
  <c r="B1910" i="1"/>
  <c r="B1909" i="1"/>
  <c r="B1908" i="1"/>
  <c r="B1907" i="1"/>
  <c r="B1906" i="1"/>
  <c r="B1905" i="1"/>
  <c r="B1904" i="1"/>
  <c r="B1903" i="1"/>
  <c r="B1902" i="1"/>
  <c r="B1901" i="1"/>
  <c r="B1900" i="1"/>
  <c r="B1899" i="1"/>
  <c r="B1898" i="1"/>
  <c r="B1897" i="1"/>
  <c r="B1896" i="1"/>
  <c r="B1895" i="1"/>
  <c r="B1894" i="1"/>
  <c r="B1893" i="1"/>
  <c r="B1892" i="1"/>
  <c r="B1891" i="1"/>
  <c r="B1890" i="1"/>
  <c r="B1889" i="1"/>
  <c r="B1888" i="1"/>
  <c r="B1887" i="1"/>
  <c r="B1886" i="1"/>
  <c r="B1885" i="1"/>
  <c r="B1884" i="1"/>
  <c r="B1883" i="1"/>
  <c r="B1882" i="1"/>
  <c r="B1881" i="1"/>
  <c r="B1880" i="1"/>
  <c r="B1879" i="1"/>
  <c r="B1878" i="1"/>
  <c r="B1877" i="1"/>
  <c r="B1876" i="1"/>
  <c r="B1875" i="1"/>
  <c r="B1874" i="1"/>
  <c r="B1873" i="1"/>
  <c r="B1872" i="1"/>
  <c r="B1871" i="1"/>
  <c r="B1870" i="1"/>
  <c r="B1869" i="1"/>
  <c r="B1868" i="1"/>
  <c r="B1867" i="1"/>
  <c r="B1866" i="1"/>
  <c r="B1865" i="1"/>
  <c r="B1864" i="1"/>
  <c r="B1863" i="1"/>
  <c r="B1862" i="1"/>
  <c r="B1861" i="1"/>
  <c r="B1860" i="1"/>
  <c r="B1859" i="1"/>
  <c r="B1858" i="1"/>
  <c r="B1857" i="1"/>
  <c r="B1856" i="1"/>
  <c r="B1855" i="1"/>
  <c r="B1854" i="1"/>
  <c r="B1853" i="1"/>
  <c r="B1852" i="1"/>
  <c r="B1851" i="1"/>
  <c r="B1850" i="1"/>
  <c r="B1849" i="1"/>
  <c r="B1848" i="1"/>
  <c r="B1847" i="1"/>
  <c r="B1846" i="1"/>
  <c r="B1845" i="1"/>
  <c r="B1844" i="1"/>
  <c r="B1843" i="1"/>
  <c r="B1842" i="1"/>
  <c r="B1841" i="1"/>
  <c r="B1840" i="1"/>
  <c r="B1839" i="1"/>
  <c r="B1838" i="1"/>
  <c r="B1837" i="1"/>
  <c r="B1836" i="1"/>
  <c r="B1835" i="1"/>
  <c r="B1834" i="1"/>
  <c r="B1833" i="1"/>
  <c r="B1832" i="1"/>
  <c r="B1831" i="1"/>
  <c r="B1830" i="1"/>
  <c r="B1829" i="1"/>
  <c r="B1828" i="1"/>
  <c r="B1827" i="1"/>
  <c r="B1826" i="1"/>
  <c r="B1825" i="1"/>
  <c r="B1824" i="1"/>
  <c r="B1823" i="1"/>
  <c r="B1822" i="1"/>
  <c r="B1821" i="1"/>
  <c r="B1820" i="1"/>
  <c r="B1819" i="1"/>
  <c r="B1818" i="1"/>
  <c r="B1817" i="1"/>
  <c r="B1816" i="1"/>
  <c r="B1815" i="1"/>
  <c r="B1814" i="1"/>
  <c r="B1813" i="1"/>
  <c r="B1812" i="1"/>
  <c r="B1811" i="1"/>
  <c r="B1810" i="1"/>
  <c r="B1809" i="1"/>
  <c r="B1808" i="1"/>
  <c r="B1807" i="1"/>
  <c r="B1806" i="1"/>
  <c r="B1805" i="1"/>
  <c r="B1804" i="1"/>
  <c r="B1803" i="1"/>
  <c r="B1802" i="1"/>
  <c r="B1801" i="1"/>
  <c r="B1800" i="1"/>
  <c r="B1799" i="1"/>
  <c r="B1798" i="1"/>
  <c r="B1797" i="1"/>
  <c r="B1796" i="1"/>
  <c r="B1795" i="1"/>
  <c r="B1794" i="1"/>
  <c r="B1793" i="1"/>
  <c r="B1792" i="1"/>
  <c r="B1791" i="1"/>
  <c r="B1790" i="1"/>
  <c r="B1789" i="1"/>
  <c r="B1788" i="1"/>
  <c r="B1787" i="1"/>
  <c r="B1786" i="1"/>
  <c r="B1785" i="1"/>
  <c r="B1784" i="1"/>
  <c r="B1783" i="1"/>
  <c r="B1782" i="1"/>
  <c r="B1781" i="1"/>
  <c r="B1780" i="1"/>
  <c r="B1779" i="1"/>
  <c r="B1778" i="1"/>
  <c r="B1777" i="1"/>
  <c r="B1776" i="1"/>
  <c r="B1775" i="1"/>
  <c r="B1774" i="1"/>
  <c r="B1773" i="1"/>
  <c r="B1772" i="1"/>
  <c r="B1771" i="1"/>
  <c r="B1770" i="1"/>
  <c r="B1769" i="1"/>
  <c r="B1768" i="1"/>
  <c r="B1767" i="1"/>
  <c r="B1766" i="1"/>
  <c r="B1765" i="1"/>
  <c r="B1764" i="1"/>
  <c r="B1763" i="1"/>
  <c r="B1762" i="1"/>
  <c r="B1761" i="1"/>
  <c r="B1760" i="1"/>
  <c r="B1759" i="1"/>
  <c r="B1758" i="1"/>
  <c r="B1757" i="1"/>
  <c r="B1756" i="1"/>
  <c r="B1755" i="1"/>
  <c r="B1754" i="1"/>
  <c r="B1753" i="1"/>
  <c r="B1752" i="1"/>
  <c r="B1751" i="1"/>
  <c r="B1750" i="1"/>
  <c r="B1749" i="1"/>
  <c r="B1748" i="1"/>
  <c r="B1747" i="1"/>
  <c r="B1746" i="1"/>
  <c r="B1745" i="1"/>
  <c r="B1744" i="1"/>
  <c r="B1743" i="1"/>
  <c r="B1742" i="1"/>
  <c r="B1741" i="1"/>
  <c r="B1740" i="1"/>
  <c r="B1739" i="1"/>
  <c r="B1738" i="1"/>
  <c r="B1737" i="1"/>
  <c r="B1736" i="1"/>
  <c r="B1735" i="1"/>
  <c r="B1734" i="1"/>
  <c r="B1733" i="1"/>
  <c r="B1732" i="1"/>
  <c r="B1731" i="1"/>
  <c r="B1730" i="1"/>
  <c r="B1729" i="1"/>
  <c r="B1728" i="1"/>
  <c r="B1727" i="1"/>
  <c r="B1726" i="1"/>
  <c r="B1725" i="1"/>
  <c r="B1724" i="1"/>
  <c r="B1723" i="1"/>
  <c r="B1722" i="1"/>
  <c r="B1721" i="1"/>
  <c r="B1720" i="1"/>
  <c r="B1719" i="1"/>
  <c r="B1718" i="1"/>
  <c r="B1717" i="1"/>
  <c r="B1716" i="1"/>
  <c r="B1715" i="1"/>
  <c r="B1714" i="1"/>
  <c r="B1713" i="1"/>
  <c r="B1712" i="1"/>
  <c r="B1711" i="1"/>
  <c r="B1710" i="1"/>
  <c r="B1709" i="1"/>
  <c r="B1708" i="1"/>
  <c r="B1707" i="1"/>
  <c r="B1706" i="1"/>
  <c r="B1705" i="1"/>
  <c r="B1704" i="1"/>
  <c r="B1703" i="1"/>
  <c r="B1702" i="1"/>
  <c r="B1701" i="1"/>
  <c r="B1700" i="1"/>
  <c r="B1699" i="1"/>
  <c r="B1698" i="1"/>
  <c r="B1697" i="1"/>
  <c r="B1696" i="1"/>
  <c r="B1695" i="1"/>
  <c r="B1694" i="1"/>
  <c r="B1693" i="1"/>
  <c r="B1692" i="1"/>
  <c r="B1691" i="1"/>
  <c r="B1690" i="1"/>
  <c r="B1689" i="1"/>
  <c r="B1688" i="1"/>
  <c r="B1687" i="1"/>
  <c r="B1686" i="1"/>
  <c r="B1685" i="1"/>
  <c r="B1684" i="1"/>
  <c r="B1683" i="1"/>
  <c r="B1682" i="1"/>
  <c r="B1681" i="1"/>
  <c r="B1680" i="1"/>
  <c r="B1679" i="1"/>
  <c r="B1678" i="1"/>
  <c r="B1677" i="1"/>
  <c r="B1676" i="1"/>
  <c r="B1675" i="1"/>
  <c r="B1674" i="1"/>
  <c r="B1673" i="1"/>
  <c r="B1672" i="1"/>
  <c r="B1671" i="1"/>
  <c r="B1670" i="1"/>
  <c r="B1669" i="1"/>
  <c r="B1668" i="1"/>
  <c r="B1667" i="1"/>
  <c r="B1666" i="1"/>
  <c r="B1665" i="1"/>
  <c r="B1664" i="1"/>
  <c r="B1663" i="1"/>
  <c r="B1662" i="1"/>
  <c r="B1661" i="1"/>
  <c r="B1660" i="1"/>
  <c r="B1659" i="1"/>
  <c r="B1658" i="1"/>
  <c r="B1657" i="1"/>
  <c r="B1656" i="1"/>
  <c r="B1655" i="1"/>
  <c r="B1654" i="1"/>
  <c r="B1653" i="1"/>
  <c r="B1652" i="1"/>
  <c r="B1651" i="1"/>
  <c r="B1650" i="1"/>
  <c r="B1649" i="1"/>
  <c r="B1648" i="1"/>
  <c r="B1647" i="1"/>
  <c r="B1646" i="1"/>
  <c r="B1645" i="1"/>
  <c r="B1644" i="1"/>
  <c r="B1643" i="1"/>
  <c r="B1642" i="1"/>
  <c r="B1641" i="1"/>
  <c r="B1640" i="1"/>
  <c r="B1639" i="1"/>
  <c r="B1638" i="1"/>
  <c r="B1637" i="1"/>
  <c r="B1636" i="1"/>
  <c r="B1635" i="1"/>
  <c r="B1634" i="1"/>
  <c r="B1633" i="1"/>
  <c r="B1632" i="1"/>
  <c r="B1631" i="1"/>
  <c r="B1630" i="1"/>
  <c r="B1629" i="1"/>
  <c r="B1628" i="1"/>
  <c r="B1627" i="1"/>
  <c r="B1626" i="1"/>
  <c r="B1625" i="1"/>
  <c r="B1624" i="1"/>
  <c r="B1623" i="1"/>
  <c r="B1622" i="1"/>
  <c r="B1621" i="1"/>
  <c r="B1620" i="1"/>
  <c r="B1619" i="1"/>
  <c r="B1618" i="1"/>
  <c r="B1617" i="1"/>
  <c r="B1616" i="1"/>
  <c r="B1615" i="1"/>
  <c r="B1614" i="1"/>
  <c r="B1613" i="1"/>
  <c r="B1612" i="1"/>
  <c r="B1611" i="1"/>
  <c r="B1610" i="1"/>
  <c r="B1609" i="1"/>
  <c r="B1608" i="1"/>
  <c r="B1607" i="1"/>
  <c r="B1606" i="1"/>
  <c r="B1605" i="1"/>
  <c r="B1604" i="1"/>
  <c r="B1603" i="1"/>
  <c r="B1602" i="1"/>
  <c r="B1601" i="1"/>
  <c r="B1600" i="1"/>
  <c r="B1599" i="1"/>
  <c r="B1598" i="1"/>
  <c r="B1597" i="1"/>
  <c r="B1596" i="1"/>
  <c r="B1595" i="1"/>
  <c r="B1594" i="1"/>
  <c r="B1593" i="1"/>
  <c r="B1592" i="1"/>
  <c r="B1591" i="1"/>
  <c r="B1590" i="1"/>
  <c r="B1589" i="1"/>
  <c r="B1588" i="1"/>
  <c r="B1587" i="1"/>
  <c r="B1586" i="1"/>
  <c r="B1585" i="1"/>
  <c r="B1584" i="1"/>
  <c r="B1583" i="1"/>
  <c r="B1582" i="1"/>
  <c r="B1581" i="1"/>
  <c r="B1580" i="1"/>
  <c r="B1579" i="1"/>
  <c r="B1578" i="1"/>
  <c r="B1577" i="1"/>
  <c r="B1576" i="1"/>
  <c r="B1575" i="1"/>
  <c r="B1574" i="1"/>
  <c r="B1573" i="1"/>
  <c r="B1572" i="1"/>
  <c r="B1571" i="1"/>
  <c r="B1570" i="1"/>
  <c r="B1569" i="1"/>
  <c r="B1568" i="1"/>
  <c r="B1567" i="1"/>
  <c r="B1566" i="1"/>
  <c r="B1565" i="1"/>
  <c r="B1564" i="1"/>
  <c r="B1563" i="1"/>
  <c r="B1562" i="1"/>
  <c r="B1561" i="1"/>
  <c r="B1560" i="1"/>
  <c r="B1559" i="1"/>
  <c r="B1558" i="1"/>
  <c r="B1557" i="1"/>
  <c r="B1556" i="1"/>
  <c r="B1555" i="1"/>
  <c r="B1554" i="1"/>
  <c r="B1553" i="1"/>
  <c r="B1552" i="1"/>
  <c r="B1551" i="1"/>
  <c r="B1550" i="1"/>
  <c r="B1549" i="1"/>
  <c r="B1548" i="1"/>
  <c r="B1547" i="1"/>
  <c r="B1546" i="1"/>
  <c r="B1545" i="1"/>
  <c r="B1544" i="1"/>
  <c r="B1543" i="1"/>
  <c r="B1542" i="1"/>
  <c r="B1541" i="1"/>
  <c r="B1540" i="1"/>
  <c r="B1539" i="1"/>
  <c r="B1538" i="1"/>
  <c r="B1537" i="1"/>
  <c r="B1536" i="1"/>
  <c r="B1535" i="1"/>
  <c r="B1534" i="1"/>
  <c r="B1533" i="1"/>
  <c r="B1532" i="1"/>
  <c r="B1531" i="1"/>
  <c r="B1530" i="1"/>
  <c r="B1529" i="1"/>
  <c r="B1528" i="1"/>
  <c r="B1527" i="1"/>
  <c r="B1526" i="1"/>
  <c r="B1525" i="1"/>
  <c r="B1524" i="1"/>
  <c r="B1523" i="1"/>
  <c r="B1522" i="1"/>
  <c r="B1521" i="1"/>
  <c r="B1520" i="1"/>
  <c r="B1519" i="1"/>
  <c r="B1518" i="1"/>
  <c r="B1517" i="1"/>
  <c r="B1516" i="1"/>
  <c r="B1515" i="1"/>
  <c r="B1514" i="1"/>
  <c r="B1513" i="1"/>
  <c r="B1512" i="1"/>
  <c r="B1511" i="1"/>
  <c r="B1510" i="1"/>
  <c r="B1509" i="1"/>
  <c r="B1508" i="1"/>
  <c r="B1507" i="1"/>
  <c r="B1506" i="1"/>
  <c r="B1505" i="1"/>
  <c r="B1504" i="1"/>
  <c r="B1503" i="1"/>
  <c r="B1502" i="1"/>
  <c r="B1501" i="1"/>
  <c r="B1500" i="1"/>
  <c r="B1499" i="1"/>
  <c r="B1498" i="1"/>
  <c r="B1497" i="1"/>
  <c r="B1496" i="1"/>
  <c r="B1495" i="1"/>
  <c r="B1494" i="1"/>
  <c r="B1493" i="1"/>
  <c r="B1492" i="1"/>
  <c r="B1491" i="1"/>
  <c r="B1490" i="1"/>
  <c r="B1489" i="1"/>
  <c r="B1488" i="1"/>
  <c r="B1487" i="1"/>
  <c r="B1486" i="1"/>
  <c r="B1485" i="1"/>
  <c r="B1484" i="1"/>
  <c r="B1483" i="1"/>
  <c r="B1482" i="1"/>
  <c r="B1481" i="1"/>
  <c r="B1480" i="1"/>
  <c r="B1479" i="1"/>
  <c r="B1478" i="1"/>
  <c r="B1477" i="1"/>
  <c r="B1476" i="1"/>
  <c r="B1475" i="1"/>
  <c r="B1474" i="1"/>
  <c r="B1473" i="1"/>
  <c r="B1472" i="1"/>
  <c r="B1471" i="1"/>
  <c r="B1470" i="1"/>
  <c r="B1469" i="1"/>
  <c r="B1468" i="1"/>
  <c r="B1467" i="1"/>
  <c r="B1466" i="1"/>
  <c r="B1465" i="1"/>
  <c r="B1464" i="1"/>
  <c r="B1463" i="1"/>
  <c r="B1462" i="1"/>
  <c r="B1461" i="1"/>
  <c r="B1460" i="1"/>
  <c r="B1459" i="1"/>
  <c r="B1458" i="1"/>
  <c r="B1457" i="1"/>
  <c r="B1456" i="1"/>
  <c r="B1455" i="1"/>
  <c r="B1454" i="1"/>
  <c r="B1453" i="1"/>
  <c r="B1452" i="1"/>
  <c r="B1451" i="1"/>
  <c r="B1450" i="1"/>
  <c r="B1449" i="1"/>
  <c r="B1448" i="1"/>
  <c r="B1447" i="1"/>
  <c r="B1446" i="1"/>
  <c r="B1445" i="1"/>
  <c r="B1444" i="1"/>
  <c r="B1443" i="1"/>
  <c r="B1442" i="1"/>
  <c r="B1441" i="1"/>
  <c r="B1440" i="1"/>
  <c r="B1439" i="1"/>
  <c r="B1438" i="1"/>
  <c r="B1437" i="1"/>
  <c r="B1436" i="1"/>
  <c r="B1435" i="1"/>
  <c r="B1434" i="1"/>
  <c r="B1433" i="1"/>
  <c r="B1432" i="1"/>
  <c r="B1431" i="1"/>
  <c r="B1430" i="1"/>
  <c r="B1429" i="1"/>
  <c r="B1428" i="1"/>
  <c r="B1427" i="1"/>
  <c r="B1426" i="1"/>
  <c r="B1425" i="1"/>
  <c r="B1424" i="1"/>
  <c r="B1423" i="1"/>
  <c r="B1422" i="1"/>
  <c r="B1421" i="1"/>
  <c r="B1420" i="1"/>
  <c r="B1419" i="1"/>
  <c r="B1418" i="1"/>
  <c r="B1417" i="1"/>
  <c r="B1416" i="1"/>
  <c r="B1415" i="1"/>
  <c r="B1414" i="1"/>
  <c r="B1413" i="1"/>
  <c r="B1412" i="1"/>
  <c r="B1411" i="1"/>
  <c r="B1410" i="1"/>
  <c r="B1409" i="1"/>
  <c r="B1408" i="1"/>
  <c r="B1407" i="1"/>
  <c r="B1406" i="1"/>
  <c r="B1405" i="1"/>
  <c r="B1404" i="1"/>
  <c r="B1403" i="1"/>
  <c r="B1402" i="1"/>
  <c r="B1401" i="1"/>
  <c r="B1400" i="1"/>
  <c r="B1399" i="1"/>
  <c r="B1398" i="1"/>
  <c r="B1397" i="1"/>
  <c r="B1396" i="1"/>
  <c r="B1395" i="1"/>
  <c r="B1394" i="1"/>
  <c r="B1393" i="1"/>
  <c r="B1392" i="1"/>
  <c r="B1391" i="1"/>
  <c r="B1390" i="1"/>
  <c r="B1389" i="1"/>
  <c r="B1388" i="1"/>
  <c r="B1387" i="1"/>
  <c r="B1386" i="1"/>
  <c r="B1385" i="1"/>
  <c r="B1384" i="1"/>
  <c r="B1383" i="1"/>
  <c r="B1382" i="1"/>
  <c r="B1381" i="1"/>
  <c r="B1380" i="1"/>
  <c r="B1379" i="1"/>
  <c r="B1378" i="1"/>
  <c r="B1377" i="1"/>
  <c r="B1376" i="1"/>
  <c r="B1375" i="1"/>
  <c r="B1374" i="1"/>
  <c r="B1373" i="1"/>
  <c r="B1372" i="1"/>
  <c r="B1371" i="1"/>
  <c r="B1370" i="1"/>
  <c r="B1369" i="1"/>
  <c r="B1368" i="1"/>
  <c r="B1367" i="1"/>
  <c r="B1366" i="1"/>
  <c r="B1365" i="1"/>
  <c r="B1364" i="1"/>
  <c r="B1363" i="1"/>
  <c r="B1362" i="1"/>
  <c r="B1361" i="1"/>
  <c r="B1360" i="1"/>
  <c r="B1359" i="1"/>
  <c r="B1358" i="1"/>
  <c r="B1357" i="1"/>
  <c r="B1356" i="1"/>
  <c r="B1355" i="1"/>
  <c r="B1354" i="1"/>
  <c r="B1353" i="1"/>
  <c r="B1352" i="1"/>
  <c r="B1351" i="1"/>
  <c r="B1350" i="1"/>
  <c r="B1349" i="1"/>
  <c r="B1348" i="1"/>
  <c r="B1347" i="1"/>
  <c r="B1346" i="1"/>
  <c r="B1345" i="1"/>
  <c r="B1344" i="1"/>
  <c r="B1343" i="1"/>
  <c r="B1342" i="1"/>
  <c r="B1341" i="1"/>
  <c r="B1340" i="1"/>
  <c r="B1339" i="1"/>
  <c r="B1338" i="1"/>
  <c r="B1337" i="1"/>
  <c r="B1336" i="1"/>
  <c r="B1335" i="1"/>
  <c r="B1334" i="1"/>
  <c r="B1333" i="1"/>
  <c r="B1332" i="1"/>
  <c r="B1331" i="1"/>
  <c r="B1330" i="1"/>
  <c r="B1329" i="1"/>
  <c r="B1328" i="1"/>
  <c r="B1327" i="1"/>
  <c r="B1326" i="1"/>
  <c r="B1325" i="1"/>
  <c r="B1324" i="1"/>
  <c r="B1323" i="1"/>
  <c r="B1322" i="1"/>
  <c r="B1321" i="1"/>
  <c r="B1320" i="1"/>
  <c r="B1319" i="1"/>
  <c r="B1318" i="1"/>
  <c r="B1317" i="1"/>
  <c r="B1316" i="1"/>
  <c r="B1315" i="1"/>
  <c r="B1314" i="1"/>
  <c r="B1313" i="1"/>
  <c r="B1312" i="1"/>
  <c r="B1311" i="1"/>
  <c r="B1310" i="1"/>
  <c r="B1309" i="1"/>
  <c r="B1308" i="1"/>
  <c r="B1307" i="1"/>
  <c r="B1306" i="1"/>
  <c r="B1305" i="1"/>
  <c r="B1304" i="1"/>
  <c r="B1303" i="1"/>
  <c r="B1302" i="1"/>
  <c r="B1301" i="1"/>
  <c r="B1300" i="1"/>
  <c r="B1299" i="1"/>
  <c r="B1298" i="1"/>
  <c r="B1297" i="1"/>
  <c r="B1296" i="1"/>
  <c r="B1295" i="1"/>
  <c r="B1294" i="1"/>
  <c r="B1293" i="1"/>
  <c r="B1292" i="1"/>
  <c r="B1291" i="1"/>
  <c r="B1290" i="1"/>
  <c r="B1289" i="1"/>
  <c r="B1288" i="1"/>
  <c r="B1287" i="1"/>
  <c r="B1286" i="1"/>
  <c r="B1285" i="1"/>
  <c r="B1284" i="1"/>
  <c r="B1283" i="1"/>
  <c r="B1282" i="1"/>
  <c r="B1281" i="1"/>
  <c r="B1280" i="1"/>
  <c r="B1279" i="1"/>
  <c r="B1278" i="1"/>
  <c r="B1277" i="1"/>
  <c r="B1276" i="1"/>
  <c r="B1275" i="1"/>
  <c r="B1274" i="1"/>
  <c r="B1273" i="1"/>
  <c r="B1272" i="1"/>
  <c r="B1271" i="1"/>
  <c r="B1270" i="1"/>
  <c r="B1269" i="1"/>
  <c r="B1268" i="1"/>
  <c r="B1267" i="1"/>
  <c r="B1266" i="1"/>
  <c r="B1265" i="1"/>
  <c r="B1264" i="1"/>
  <c r="B1263" i="1"/>
  <c r="B1262" i="1"/>
  <c r="B1261" i="1"/>
  <c r="B1260" i="1"/>
  <c r="B1259" i="1"/>
  <c r="B1258" i="1"/>
  <c r="B1257" i="1"/>
  <c r="B1256" i="1"/>
  <c r="B1255" i="1"/>
  <c r="B1254" i="1"/>
  <c r="B1253" i="1"/>
  <c r="B1252" i="1"/>
  <c r="B1251" i="1"/>
  <c r="B1250" i="1"/>
  <c r="B1249" i="1"/>
  <c r="B1248" i="1"/>
  <c r="B1247" i="1"/>
  <c r="B1246" i="1"/>
  <c r="B1245" i="1"/>
  <c r="B1244" i="1"/>
  <c r="B1243" i="1"/>
  <c r="B1242" i="1"/>
  <c r="B1241" i="1"/>
  <c r="B1240" i="1"/>
  <c r="B1239" i="1"/>
  <c r="B1238" i="1"/>
  <c r="B1237" i="1"/>
  <c r="B1236" i="1"/>
  <c r="B1235" i="1"/>
  <c r="B1234" i="1"/>
  <c r="B1233" i="1"/>
  <c r="B1232" i="1"/>
  <c r="B1231" i="1"/>
  <c r="B1230" i="1"/>
  <c r="B1229" i="1"/>
  <c r="B1228" i="1"/>
  <c r="B1227" i="1"/>
  <c r="B1226" i="1"/>
  <c r="B1225" i="1"/>
  <c r="B1224" i="1"/>
  <c r="B1223" i="1"/>
  <c r="B1222" i="1"/>
  <c r="B1221" i="1"/>
  <c r="B1220" i="1"/>
  <c r="B1219" i="1"/>
  <c r="B1218" i="1"/>
  <c r="B1217" i="1"/>
  <c r="B1216" i="1"/>
  <c r="B1215" i="1"/>
  <c r="B1214" i="1"/>
  <c r="B1213" i="1"/>
  <c r="B1212" i="1"/>
  <c r="B1211" i="1"/>
  <c r="B1210" i="1"/>
  <c r="B1209" i="1"/>
  <c r="B1208" i="1"/>
  <c r="B1207" i="1"/>
  <c r="B1206" i="1"/>
  <c r="B1205" i="1"/>
  <c r="B1204" i="1"/>
  <c r="B1203" i="1"/>
  <c r="B1202" i="1"/>
  <c r="B1201" i="1"/>
  <c r="B1200" i="1"/>
  <c r="B1199" i="1"/>
  <c r="B1198" i="1"/>
  <c r="B1197" i="1"/>
  <c r="B1196" i="1"/>
  <c r="B1195" i="1"/>
  <c r="B1194" i="1"/>
  <c r="B1193" i="1"/>
  <c r="B1192" i="1"/>
  <c r="B1191" i="1"/>
  <c r="B1190" i="1"/>
  <c r="B1189" i="1"/>
  <c r="B1188" i="1"/>
  <c r="B1187" i="1"/>
  <c r="B1186" i="1"/>
  <c r="B1185" i="1"/>
  <c r="B1184" i="1"/>
  <c r="B1183" i="1"/>
  <c r="B1182" i="1"/>
  <c r="B1181" i="1"/>
  <c r="B1180" i="1"/>
  <c r="B1179" i="1"/>
  <c r="B1178" i="1"/>
  <c r="B1177" i="1"/>
  <c r="B1176" i="1"/>
  <c r="B1175" i="1"/>
  <c r="B1174" i="1"/>
  <c r="B1173" i="1"/>
  <c r="B1172" i="1"/>
  <c r="B1171" i="1"/>
  <c r="B1170" i="1"/>
  <c r="B1169" i="1"/>
  <c r="B1168" i="1"/>
  <c r="B1167" i="1"/>
  <c r="B1166" i="1"/>
  <c r="B1165" i="1"/>
  <c r="B1164" i="1"/>
  <c r="B1163" i="1"/>
  <c r="B1162" i="1"/>
  <c r="B1161" i="1"/>
  <c r="B1160" i="1"/>
  <c r="B1159" i="1"/>
  <c r="B1158" i="1"/>
  <c r="B1157" i="1"/>
  <c r="B1156" i="1"/>
  <c r="B1155" i="1"/>
  <c r="B1154" i="1"/>
  <c r="B1153" i="1"/>
  <c r="B1152" i="1"/>
  <c r="B1151" i="1"/>
  <c r="B1150" i="1"/>
  <c r="B1149" i="1"/>
  <c r="B1148" i="1"/>
  <c r="B1147" i="1"/>
  <c r="B1146" i="1"/>
  <c r="B1145" i="1"/>
  <c r="B1144" i="1"/>
  <c r="B1143" i="1"/>
  <c r="B1142" i="1"/>
  <c r="B1141" i="1"/>
  <c r="B1140" i="1"/>
  <c r="B1139" i="1"/>
  <c r="B1138" i="1"/>
  <c r="B1137" i="1"/>
  <c r="B1136" i="1"/>
  <c r="B1135" i="1"/>
  <c r="B1134" i="1"/>
  <c r="B1133" i="1"/>
  <c r="B1132" i="1"/>
  <c r="B1131" i="1"/>
  <c r="B1130" i="1"/>
  <c r="B1129" i="1"/>
  <c r="B1128" i="1"/>
  <c r="B1127" i="1"/>
  <c r="B1126" i="1"/>
  <c r="B1125" i="1"/>
  <c r="B1124" i="1"/>
  <c r="B1123" i="1"/>
  <c r="B1122" i="1"/>
  <c r="B1121" i="1"/>
  <c r="B1120" i="1"/>
  <c r="B1119" i="1"/>
  <c r="B1118" i="1"/>
  <c r="B1117" i="1"/>
  <c r="B1116" i="1"/>
  <c r="B1115" i="1"/>
  <c r="B1114" i="1"/>
  <c r="B1113" i="1"/>
  <c r="B1112" i="1"/>
  <c r="B1111" i="1"/>
  <c r="B1110" i="1"/>
  <c r="B1109" i="1"/>
  <c r="B1108" i="1"/>
  <c r="B1107" i="1"/>
  <c r="B1106" i="1"/>
  <c r="B1105" i="1"/>
  <c r="B1104" i="1"/>
  <c r="B1103" i="1"/>
  <c r="B1102" i="1"/>
  <c r="B1101" i="1"/>
  <c r="B1100" i="1"/>
  <c r="B1099" i="1"/>
  <c r="B1098" i="1"/>
  <c r="B1097" i="1"/>
  <c r="B1096" i="1"/>
  <c r="B1095" i="1"/>
  <c r="B1094" i="1"/>
  <c r="B1093" i="1"/>
  <c r="B1092" i="1"/>
  <c r="B1091" i="1"/>
  <c r="B1090" i="1"/>
  <c r="B1089" i="1"/>
  <c r="B1088" i="1"/>
  <c r="B1087" i="1"/>
  <c r="B1086" i="1"/>
  <c r="B1085" i="1"/>
  <c r="B1084" i="1"/>
  <c r="B1083" i="1"/>
  <c r="B1082" i="1"/>
  <c r="B1081" i="1"/>
  <c r="B1080" i="1"/>
  <c r="B1079" i="1"/>
  <c r="B1078" i="1"/>
  <c r="B1077" i="1"/>
  <c r="B1076" i="1"/>
  <c r="B1075" i="1"/>
  <c r="B1074" i="1"/>
  <c r="B1073" i="1"/>
  <c r="B1072" i="1"/>
  <c r="B1071" i="1"/>
  <c r="B1070" i="1"/>
  <c r="B1069" i="1"/>
  <c r="B1068" i="1"/>
  <c r="B1067" i="1"/>
  <c r="B1066" i="1"/>
  <c r="B1065" i="1"/>
  <c r="B1064" i="1"/>
  <c r="B1063" i="1"/>
  <c r="B1062" i="1"/>
  <c r="B1061" i="1"/>
  <c r="B1060" i="1"/>
  <c r="B1059" i="1"/>
  <c r="B1058" i="1"/>
  <c r="B1057" i="1"/>
  <c r="B1056" i="1"/>
  <c r="B1055" i="1"/>
  <c r="B1054" i="1"/>
  <c r="B1053" i="1"/>
  <c r="B1052" i="1"/>
  <c r="B1051" i="1"/>
  <c r="B1050" i="1"/>
  <c r="B1049" i="1"/>
  <c r="B1048" i="1"/>
  <c r="B1047" i="1"/>
  <c r="B1046" i="1"/>
  <c r="B1045" i="1"/>
  <c r="B1044" i="1"/>
  <c r="B1043" i="1"/>
  <c r="B1042" i="1"/>
  <c r="B1041" i="1"/>
  <c r="B1040" i="1"/>
  <c r="B1039" i="1"/>
  <c r="B1038" i="1"/>
  <c r="B1037" i="1"/>
  <c r="B1036" i="1"/>
  <c r="B1035" i="1"/>
  <c r="B1034" i="1"/>
  <c r="B1033" i="1"/>
  <c r="B1032" i="1"/>
  <c r="B1031" i="1"/>
  <c r="B1030" i="1"/>
  <c r="B1029" i="1"/>
  <c r="B1028" i="1"/>
  <c r="B1027" i="1"/>
  <c r="B1026" i="1"/>
  <c r="B1025" i="1"/>
  <c r="B1024" i="1"/>
  <c r="B1023" i="1"/>
  <c r="B1022" i="1"/>
  <c r="B1021" i="1"/>
  <c r="B1020" i="1"/>
  <c r="B1019" i="1"/>
  <c r="B1018" i="1"/>
  <c r="B1017" i="1"/>
  <c r="B1016" i="1"/>
  <c r="B1015" i="1"/>
  <c r="B1014" i="1"/>
  <c r="B1013" i="1"/>
  <c r="B1012" i="1"/>
  <c r="B1011" i="1"/>
  <c r="B1010" i="1"/>
  <c r="B1009" i="1"/>
  <c r="B1008" i="1"/>
  <c r="B1007" i="1"/>
  <c r="B1006" i="1"/>
  <c r="B1005" i="1"/>
  <c r="B1004" i="1"/>
  <c r="B1003" i="1"/>
  <c r="B1002" i="1"/>
  <c r="B1001" i="1"/>
  <c r="B1000" i="1"/>
  <c r="B999" i="1"/>
  <c r="B998" i="1"/>
  <c r="B997" i="1"/>
  <c r="B996" i="1"/>
  <c r="B995" i="1"/>
  <c r="B994" i="1"/>
  <c r="B993" i="1"/>
  <c r="B992" i="1"/>
  <c r="B991" i="1"/>
  <c r="B990" i="1"/>
  <c r="B989" i="1"/>
  <c r="B988" i="1"/>
  <c r="B987" i="1"/>
  <c r="B986" i="1"/>
  <c r="B985" i="1"/>
  <c r="B984" i="1"/>
  <c r="B983" i="1"/>
  <c r="B982" i="1"/>
  <c r="B981" i="1"/>
  <c r="B980" i="1"/>
  <c r="B979" i="1"/>
  <c r="B978" i="1"/>
  <c r="B977" i="1"/>
  <c r="B976" i="1"/>
  <c r="B975" i="1"/>
  <c r="B974" i="1"/>
  <c r="B973" i="1"/>
  <c r="B972" i="1"/>
  <c r="B971" i="1"/>
  <c r="B970" i="1"/>
  <c r="B969" i="1"/>
  <c r="B968" i="1"/>
  <c r="B967" i="1"/>
  <c r="B966" i="1"/>
  <c r="B965" i="1"/>
  <c r="B964" i="1"/>
  <c r="B963" i="1"/>
  <c r="B962" i="1"/>
  <c r="B961" i="1"/>
  <c r="B960" i="1"/>
  <c r="B959" i="1"/>
  <c r="B958" i="1"/>
  <c r="B957" i="1"/>
  <c r="B956" i="1"/>
  <c r="B955" i="1"/>
  <c r="B954" i="1"/>
  <c r="B953" i="1"/>
  <c r="B952" i="1"/>
  <c r="B951" i="1"/>
  <c r="B950" i="1"/>
  <c r="B949" i="1"/>
  <c r="B948" i="1"/>
  <c r="B947" i="1"/>
  <c r="B946" i="1"/>
  <c r="B945" i="1"/>
  <c r="B944" i="1"/>
  <c r="B943" i="1"/>
  <c r="B942" i="1"/>
  <c r="B941" i="1"/>
  <c r="B940" i="1"/>
  <c r="B939" i="1"/>
  <c r="B938" i="1"/>
  <c r="B937" i="1"/>
  <c r="B936" i="1"/>
  <c r="B935" i="1"/>
  <c r="B934" i="1"/>
  <c r="B933" i="1"/>
  <c r="B932" i="1"/>
  <c r="B931" i="1"/>
  <c r="B930" i="1"/>
  <c r="B929" i="1"/>
  <c r="B928" i="1"/>
  <c r="B927" i="1"/>
  <c r="B926" i="1"/>
  <c r="B925" i="1"/>
  <c r="B924" i="1"/>
  <c r="B923" i="1"/>
  <c r="B922" i="1"/>
  <c r="B921" i="1"/>
  <c r="B920" i="1"/>
  <c r="B919" i="1"/>
  <c r="B918" i="1"/>
  <c r="B917" i="1"/>
  <c r="B916" i="1"/>
  <c r="B915" i="1"/>
  <c r="B914" i="1"/>
  <c r="B913" i="1"/>
  <c r="B912" i="1"/>
  <c r="B911" i="1"/>
  <c r="B910" i="1"/>
  <c r="B909" i="1"/>
  <c r="B908" i="1"/>
  <c r="B907" i="1"/>
  <c r="B906" i="1"/>
  <c r="B905" i="1"/>
  <c r="B904" i="1"/>
  <c r="B903" i="1"/>
  <c r="B902" i="1"/>
  <c r="B901" i="1"/>
  <c r="B900" i="1"/>
  <c r="B899" i="1"/>
  <c r="B898" i="1"/>
  <c r="B897" i="1"/>
  <c r="B896" i="1"/>
  <c r="B895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7" i="1"/>
  <c r="B876" i="1"/>
  <c r="B875" i="1"/>
  <c r="B874" i="1"/>
  <c r="B873" i="1"/>
  <c r="B872" i="1"/>
  <c r="B871" i="1"/>
  <c r="B870" i="1"/>
  <c r="B869" i="1"/>
  <c r="B868" i="1"/>
  <c r="B867" i="1"/>
  <c r="B866" i="1"/>
  <c r="B865" i="1"/>
  <c r="B864" i="1"/>
  <c r="B863" i="1"/>
  <c r="B862" i="1"/>
  <c r="B861" i="1"/>
  <c r="B860" i="1"/>
  <c r="B859" i="1"/>
  <c r="B858" i="1"/>
  <c r="B857" i="1"/>
  <c r="B856" i="1"/>
  <c r="B855" i="1"/>
  <c r="B854" i="1"/>
  <c r="B853" i="1"/>
  <c r="B852" i="1"/>
  <c r="B851" i="1"/>
  <c r="B850" i="1"/>
  <c r="B849" i="1"/>
  <c r="B848" i="1"/>
  <c r="B847" i="1"/>
  <c r="B846" i="1"/>
  <c r="B845" i="1"/>
  <c r="B844" i="1"/>
  <c r="B843" i="1"/>
  <c r="B842" i="1"/>
  <c r="B841" i="1"/>
  <c r="B840" i="1"/>
  <c r="B839" i="1"/>
  <c r="B838" i="1"/>
  <c r="B837" i="1"/>
  <c r="B836" i="1"/>
  <c r="B835" i="1"/>
  <c r="B834" i="1"/>
  <c r="B833" i="1"/>
  <c r="B832" i="1"/>
  <c r="B831" i="1"/>
  <c r="B830" i="1"/>
  <c r="B829" i="1"/>
  <c r="B828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4" i="1"/>
  <c r="B813" i="1"/>
  <c r="B812" i="1"/>
  <c r="B811" i="1"/>
  <c r="B810" i="1"/>
  <c r="B809" i="1"/>
  <c r="B808" i="1"/>
  <c r="B807" i="1"/>
  <c r="B806" i="1"/>
  <c r="B805" i="1"/>
  <c r="B804" i="1"/>
  <c r="B803" i="1"/>
  <c r="B802" i="1"/>
  <c r="B801" i="1"/>
  <c r="B800" i="1"/>
  <c r="B799" i="1"/>
  <c r="B798" i="1"/>
  <c r="B797" i="1"/>
  <c r="B796" i="1"/>
  <c r="B795" i="1"/>
  <c r="B794" i="1"/>
  <c r="B793" i="1"/>
  <c r="B792" i="1"/>
  <c r="B791" i="1"/>
  <c r="B790" i="1"/>
  <c r="B789" i="1"/>
  <c r="B788" i="1"/>
  <c r="B787" i="1"/>
  <c r="B786" i="1"/>
  <c r="B785" i="1"/>
  <c r="B784" i="1"/>
  <c r="B783" i="1"/>
  <c r="B782" i="1"/>
  <c r="B781" i="1"/>
  <c r="B780" i="1"/>
  <c r="B779" i="1"/>
  <c r="B778" i="1"/>
  <c r="B777" i="1"/>
  <c r="B776" i="1"/>
  <c r="B775" i="1"/>
  <c r="B774" i="1"/>
  <c r="B773" i="1"/>
  <c r="B772" i="1"/>
  <c r="B771" i="1"/>
  <c r="B770" i="1"/>
  <c r="B769" i="1"/>
  <c r="B768" i="1"/>
  <c r="B767" i="1"/>
  <c r="B766" i="1"/>
  <c r="B765" i="1"/>
  <c r="B764" i="1"/>
  <c r="B763" i="1"/>
  <c r="B762" i="1"/>
  <c r="B761" i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J27" i="1"/>
  <c r="B27" i="1"/>
  <c r="J26" i="1"/>
  <c r="B26" i="1"/>
  <c r="J25" i="1"/>
  <c r="B25" i="1"/>
  <c r="B24" i="1"/>
  <c r="J23" i="1"/>
  <c r="B23" i="1"/>
  <c r="B22" i="1"/>
  <c r="B21" i="1"/>
  <c r="J20" i="1"/>
  <c r="B20" i="1"/>
  <c r="B19" i="1"/>
  <c r="B18" i="1"/>
  <c r="B17" i="1"/>
  <c r="B16" i="1"/>
  <c r="J15" i="1"/>
  <c r="B15" i="1"/>
  <c r="B14" i="1"/>
  <c r="J13" i="1"/>
  <c r="B13" i="1"/>
  <c r="B12" i="1"/>
  <c r="B11" i="1"/>
  <c r="B10" i="1"/>
  <c r="B9" i="1"/>
  <c r="B8" i="1"/>
  <c r="B7" i="1"/>
  <c r="B6" i="1"/>
  <c r="B5" i="1"/>
  <c r="B4" i="1"/>
  <c r="J23" i="11" l="1"/>
  <c r="J23" i="10"/>
  <c r="J23" i="8"/>
</calcChain>
</file>

<file path=xl/sharedStrings.xml><?xml version="1.0" encoding="utf-8"?>
<sst xmlns="http://schemas.openxmlformats.org/spreadsheetml/2006/main" count="474" uniqueCount="53">
  <si>
    <t>DATA:</t>
  </si>
  <si>
    <t>INFORMATION:</t>
  </si>
  <si>
    <t>Shot Number</t>
  </si>
  <si>
    <t>Log Time</t>
  </si>
  <si>
    <t>Interval (ms)</t>
  </si>
  <si>
    <t>Blowback (ms)</t>
  </si>
  <si>
    <t>Return (ms)</t>
  </si>
  <si>
    <t>Cycle (ms)</t>
  </si>
  <si>
    <t>Trial:</t>
  </si>
  <si>
    <t>Propellant:</t>
  </si>
  <si>
    <t>Propellant Mass to Test (g):</t>
  </si>
  <si>
    <t>Magazine Used:</t>
  </si>
  <si>
    <t>Nozzle Used:</t>
  </si>
  <si>
    <t>High Flow, Open</t>
  </si>
  <si>
    <t>Empty Magazine Mass (g):</t>
  </si>
  <si>
    <t>Charged Magazine Mass (g):</t>
  </si>
  <si>
    <t>Fired Magazine Mass (g):</t>
  </si>
  <si>
    <t>Gas Consumed (g):</t>
  </si>
  <si>
    <t>Temp (ambient)</t>
  </si>
  <si>
    <t>Temp Mag (initial)</t>
  </si>
  <si>
    <t>Temp Mag (final)</t>
  </si>
  <si>
    <t>Total Shots:</t>
  </si>
  <si>
    <t>Gram Propellant per Shot:</t>
  </si>
  <si>
    <t>Average Blowback Time:</t>
  </si>
  <si>
    <t>Average Return Time:</t>
  </si>
  <si>
    <t>Average Interval Time:</t>
  </si>
  <si>
    <t xml:space="preserve"> </t>
  </si>
  <si>
    <t>CO2</t>
  </si>
  <si>
    <t>Temp Mag Delta</t>
  </si>
  <si>
    <t>avg blowback (ms)</t>
  </si>
  <si>
    <t>temp delta</t>
  </si>
  <si>
    <t>avg temp</t>
  </si>
  <si>
    <t>shot count</t>
  </si>
  <si>
    <t>avg shot ct</t>
  </si>
  <si>
    <t>prop. Consum.</t>
  </si>
  <si>
    <t>avg consum.</t>
  </si>
  <si>
    <t>50th shot from function</t>
  </si>
  <si>
    <t>1st shot from function</t>
  </si>
  <si>
    <t>delta</t>
  </si>
  <si>
    <t>12g</t>
  </si>
  <si>
    <t>18g</t>
  </si>
  <si>
    <t>Sample #</t>
  </si>
  <si>
    <t>SET B:</t>
  </si>
  <si>
    <t>Trial 1</t>
  </si>
  <si>
    <t>Trial 2</t>
  </si>
  <si>
    <t>Trial 3</t>
  </si>
  <si>
    <t>std</t>
  </si>
  <si>
    <t>avg std</t>
  </si>
  <si>
    <t>sample #</t>
  </si>
  <si>
    <t>trial #</t>
  </si>
  <si>
    <t/>
  </si>
  <si>
    <t>12g prop</t>
  </si>
  <si>
    <t>Propane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</si>
</sst>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rgb="FF505050"/>
      <name val="Segoe UI"/>
      <family val="2"/>
    </font>
    <font>
      <sz val="12"/>
      <color rgb="FF505050"/>
      <name val="Calibri"/>
      <family val="2"/>
      <scheme val="minor"/>
    </font>
    <font>
      <sz val="12"/>
      <color rgb="FFDAE3E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0" fontId="1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1" fillId="2" borderId="5" xfId="0" applyFont="1" applyFill="1" applyBorder="1"/>
    <xf numFmtId="0" fontId="1" fillId="2" borderId="6" xfId="0" applyFont="1" applyFill="1" applyBorder="1"/>
    <xf numFmtId="0" fontId="2" fillId="0" borderId="0" xfId="0" applyFont="1" applyAlignment="1">
      <alignment horizontal="center"/>
    </xf>
    <xf numFmtId="164" fontId="3" fillId="3" borderId="7" xfId="0" applyNumberFormat="1" applyFont="1" applyFill="1" applyBorder="1" applyAlignment="1" applyProtection="1">
      <alignment horizontal="left" vertical="center" indent="1"/>
      <protection locked="0"/>
    </xf>
    <xf numFmtId="0" fontId="3" fillId="3" borderId="7" xfId="0" quotePrefix="1" applyFont="1" applyFill="1" applyBorder="1" applyAlignment="1" applyProtection="1">
      <alignment horizontal="right" vertical="center" indent="1"/>
      <protection locked="0"/>
    </xf>
    <xf numFmtId="0" fontId="1" fillId="0" borderId="0" xfId="0" applyFont="1" applyAlignment="1">
      <alignment horizontal="center"/>
    </xf>
    <xf numFmtId="0" fontId="1" fillId="0" borderId="8" xfId="0" applyFont="1" applyBorder="1"/>
    <xf numFmtId="0" fontId="4" fillId="0" borderId="9" xfId="0" applyFont="1" applyBorder="1" applyAlignment="1" applyProtection="1">
      <alignment horizontal="center" vertical="center"/>
      <protection locked="0"/>
    </xf>
    <xf numFmtId="0" fontId="1" fillId="2" borderId="10" xfId="0" applyFont="1" applyFill="1" applyBorder="1"/>
    <xf numFmtId="0" fontId="1" fillId="0" borderId="11" xfId="0" applyFont="1" applyBorder="1"/>
    <xf numFmtId="0" fontId="1" fillId="0" borderId="6" xfId="0" applyFont="1" applyBorder="1" applyAlignment="1">
      <alignment horizontal="center"/>
    </xf>
    <xf numFmtId="0" fontId="1" fillId="0" borderId="12" xfId="0" applyFont="1" applyBorder="1"/>
    <xf numFmtId="0" fontId="4" fillId="0" borderId="13" xfId="0" applyFont="1" applyBorder="1" applyAlignment="1" applyProtection="1">
      <alignment horizontal="center" vertical="center"/>
      <protection locked="0"/>
    </xf>
    <xf numFmtId="0" fontId="1" fillId="2" borderId="11" xfId="0" applyFont="1" applyFill="1" applyBorder="1"/>
    <xf numFmtId="0" fontId="1" fillId="2" borderId="6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2" borderId="12" xfId="0" applyFont="1" applyFill="1" applyBorder="1"/>
    <xf numFmtId="0" fontId="1" fillId="2" borderId="13" xfId="0" applyFont="1" applyFill="1" applyBorder="1" applyAlignment="1">
      <alignment horizontal="center"/>
    </xf>
    <xf numFmtId="0" fontId="1" fillId="0" borderId="14" xfId="0" applyFont="1" applyBorder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2" borderId="14" xfId="0" applyFont="1" applyFill="1" applyBorder="1"/>
    <xf numFmtId="0" fontId="1" fillId="2" borderId="9" xfId="0" applyFont="1" applyFill="1" applyBorder="1" applyAlignment="1">
      <alignment horizontal="center"/>
    </xf>
    <xf numFmtId="0" fontId="2" fillId="0" borderId="14" xfId="0" applyFont="1" applyBorder="1"/>
    <xf numFmtId="0" fontId="2" fillId="0" borderId="9" xfId="0" applyFont="1" applyBorder="1" applyAlignment="1">
      <alignment horizontal="center"/>
    </xf>
    <xf numFmtId="0" fontId="1" fillId="2" borderId="15" xfId="0" applyFont="1" applyFill="1" applyBorder="1"/>
    <xf numFmtId="0" fontId="1" fillId="2" borderId="13" xfId="0" applyFont="1" applyFill="1" applyBorder="1"/>
    <xf numFmtId="0" fontId="1" fillId="2" borderId="9" xfId="0" applyFont="1" applyFill="1" applyBorder="1"/>
    <xf numFmtId="3" fontId="5" fillId="0" borderId="0" xfId="0" applyNumberFormat="1" applyFont="1" applyAlignment="1">
      <alignment horizontal="center" vertical="center"/>
    </xf>
    <xf numFmtId="164" fontId="3" fillId="4" borderId="7" xfId="0" applyNumberFormat="1" applyFont="1" applyFill="1" applyBorder="1" applyAlignment="1" applyProtection="1">
      <alignment horizontal="left" vertical="center" indent="1"/>
      <protection locked="0"/>
    </xf>
    <xf numFmtId="0" fontId="3" fillId="4" borderId="7" xfId="0" applyFont="1" applyFill="1" applyBorder="1" applyAlignment="1" applyProtection="1">
      <alignment horizontal="right" vertical="center" indent="1"/>
      <protection locked="0"/>
    </xf>
    <xf numFmtId="0" fontId="3" fillId="4" borderId="7" xfId="0" quotePrefix="1" applyFont="1" applyFill="1" applyBorder="1" applyAlignment="1" applyProtection="1">
      <alignment horizontal="right" vertical="center" indent="1"/>
      <protection locked="0"/>
    </xf>
    <xf numFmtId="0" fontId="3" fillId="3" borderId="7" xfId="0" applyFont="1" applyFill="1" applyBorder="1" applyAlignment="1" applyProtection="1">
      <alignment horizontal="right" vertical="center" indent="1"/>
      <protection locked="0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2" fillId="0" borderId="16" xfId="0" applyFont="1" applyBorder="1"/>
    <xf numFmtId="0" fontId="0" fillId="0" borderId="16" xfId="0" applyBorder="1"/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7" xfId="0" applyBorder="1"/>
    <xf numFmtId="0" fontId="2" fillId="0" borderId="19" xfId="0" applyFont="1" applyBorder="1"/>
    <xf numFmtId="0" fontId="0" fillId="0" borderId="0" xfId="0"/>
    <xf numFmtId="0" fontId="3" fillId="3" borderId="7" xfId="0" applyFont="1" applyFill="1" applyBorder="1" applyAlignment="1" applyProtection="1">
      <alignment horizontal="right" vertical="center" indent="1"/>
      <protection locked="0"/>
    </xf>
    <xf numFmtId="164" fontId="3" fillId="3" borderId="7" xfId="0" applyNumberFormat="1" applyFont="1" applyFill="1" applyBorder="1" applyAlignment="1" applyProtection="1">
      <alignment horizontal="left" vertical="center" indent="1"/>
      <protection locked="0"/>
    </xf>
    <xf numFmtId="164" fontId="3" fillId="4" borderId="7" xfId="0" applyNumberFormat="1" applyFont="1" applyFill="1" applyBorder="1" applyAlignment="1" applyProtection="1">
      <alignment horizontal="left" vertical="center" indent="1"/>
      <protection locked="0"/>
    </xf>
    <xf numFmtId="0" fontId="3" fillId="4" borderId="7" xfId="0" applyFont="1" applyFill="1" applyBorder="1" applyAlignment="1" applyProtection="1">
      <alignment horizontal="right" vertical="center" indent="1"/>
      <protection locked="0"/>
    </xf>
    <xf numFmtId="0" fontId="3" fillId="4" borderId="7" xfId="0" quotePrefix="1" applyFont="1" applyFill="1" applyBorder="1" applyAlignment="1" applyProtection="1">
      <alignment horizontal="right" vertical="center" indent="1"/>
      <protection locked="0"/>
    </xf>
    <xf numFmtId="0" fontId="3" fillId="3" borderId="7" xfId="0" quotePrefix="1" applyFont="1" applyFill="1" applyBorder="1" applyAlignment="1" applyProtection="1">
      <alignment horizontal="right" vertical="center" indent="1"/>
      <protection locked="0"/>
    </xf>
    <xf numFmtId="0" fontId="3" fillId="3" borderId="7" xfId="0" applyFont="1" applyFill="1" applyBorder="1" applyAlignment="1" applyProtection="1">
      <alignment horizontal="right" vertical="center" indent="1"/>
      <protection locked="0"/>
    </xf>
    <xf numFmtId="0" fontId="3" fillId="4" borderId="7" xfId="0" quotePrefix="1" applyFont="1" applyFill="1" applyBorder="1" applyAlignment="1" applyProtection="1">
      <alignment horizontal="right" vertical="center" indent="1"/>
      <protection locked="0"/>
    </xf>
    <xf numFmtId="0" fontId="3" fillId="3" borderId="7" xfId="0" quotePrefix="1" applyFont="1" applyFill="1" applyBorder="1" applyAlignment="1" applyProtection="1">
      <alignment horizontal="right" vertical="center" indent="1"/>
      <protection locked="0"/>
    </xf>
    <xf numFmtId="0" fontId="0" fillId="0" borderId="0" xfId="0"/>
    <xf numFmtId="0" fontId="3" fillId="3" borderId="7" xfId="0" applyFont="1" applyFill="1" applyBorder="1" applyAlignment="1" applyProtection="1">
      <alignment horizontal="right" vertical="center" indent="1"/>
      <protection locked="0"/>
    </xf>
    <xf numFmtId="164" fontId="3" fillId="3" borderId="7" xfId="0" applyNumberFormat="1" applyFont="1" applyFill="1" applyBorder="1" applyAlignment="1" applyProtection="1">
      <alignment horizontal="left" vertical="center" indent="1"/>
      <protection locked="0"/>
    </xf>
    <xf numFmtId="164" fontId="3" fillId="4" borderId="7" xfId="0" applyNumberFormat="1" applyFont="1" applyFill="1" applyBorder="1" applyAlignment="1" applyProtection="1">
      <alignment horizontal="left" vertical="center" indent="1"/>
      <protection locked="0"/>
    </xf>
    <xf numFmtId="0" fontId="3" fillId="3" borderId="7" xfId="0" quotePrefix="1" applyFont="1" applyFill="1" applyBorder="1" applyAlignment="1" applyProtection="1">
      <alignment horizontal="right" vertical="center" indent="1"/>
      <protection locked="0"/>
    </xf>
    <xf numFmtId="0" fontId="0" fillId="0" borderId="0" xfId="0"/>
    <xf numFmtId="0" fontId="3" fillId="3" borderId="7" xfId="0" applyFont="1" applyFill="1" applyBorder="1" applyAlignment="1" applyProtection="1">
      <alignment horizontal="right" vertical="center" indent="1"/>
      <protection locked="0"/>
    </xf>
    <xf numFmtId="164" fontId="3" fillId="3" borderId="7" xfId="0" applyNumberFormat="1" applyFont="1" applyFill="1" applyBorder="1" applyAlignment="1" applyProtection="1">
      <alignment horizontal="left" vertical="center" indent="1"/>
      <protection locked="0"/>
    </xf>
    <xf numFmtId="164" fontId="3" fillId="4" borderId="7" xfId="0" applyNumberFormat="1" applyFont="1" applyFill="1" applyBorder="1" applyAlignment="1" applyProtection="1">
      <alignment horizontal="left" vertical="center" indent="1"/>
      <protection locked="0"/>
    </xf>
    <xf numFmtId="0" fontId="3" fillId="3" borderId="7" xfId="0" quotePrefix="1" applyFont="1" applyFill="1" applyBorder="1" applyAlignment="1" applyProtection="1">
      <alignment horizontal="right" vertical="center" indent="1"/>
      <protection locked="0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4278084-C04E-44B5-9516-A39D65B9DF9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'12g_CO2_Cold_1'!$E$4:$E$1048576</c:f>
              <c:numCache>
                <c:formatCode>General</c:formatCode>
                <c:ptCount val="1048573"/>
                <c:pt idx="0">
                  <c:v>20</c:v>
                </c:pt>
                <c:pt idx="1">
                  <c:v>20</c:v>
                </c:pt>
                <c:pt idx="2">
                  <c:v>22</c:v>
                </c:pt>
                <c:pt idx="3">
                  <c:v>20</c:v>
                </c:pt>
                <c:pt idx="4">
                  <c:v>22</c:v>
                </c:pt>
                <c:pt idx="5">
                  <c:v>21</c:v>
                </c:pt>
                <c:pt idx="6">
                  <c:v>20</c:v>
                </c:pt>
                <c:pt idx="7">
                  <c:v>21</c:v>
                </c:pt>
                <c:pt idx="8">
                  <c:v>21</c:v>
                </c:pt>
                <c:pt idx="9">
                  <c:v>22</c:v>
                </c:pt>
                <c:pt idx="10">
                  <c:v>22</c:v>
                </c:pt>
                <c:pt idx="11">
                  <c:v>22</c:v>
                </c:pt>
                <c:pt idx="12">
                  <c:v>22</c:v>
                </c:pt>
                <c:pt idx="13">
                  <c:v>21</c:v>
                </c:pt>
                <c:pt idx="14">
                  <c:v>22</c:v>
                </c:pt>
                <c:pt idx="15">
                  <c:v>22</c:v>
                </c:pt>
                <c:pt idx="16">
                  <c:v>22</c:v>
                </c:pt>
                <c:pt idx="17">
                  <c:v>23</c:v>
                </c:pt>
                <c:pt idx="19">
                  <c:v>23</c:v>
                </c:pt>
                <c:pt idx="20">
                  <c:v>24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6">
                  <c:v>23</c:v>
                </c:pt>
                <c:pt idx="27">
                  <c:v>24</c:v>
                </c:pt>
                <c:pt idx="28">
                  <c:v>24</c:v>
                </c:pt>
                <c:pt idx="29">
                  <c:v>24</c:v>
                </c:pt>
                <c:pt idx="30">
                  <c:v>23</c:v>
                </c:pt>
                <c:pt idx="31">
                  <c:v>25</c:v>
                </c:pt>
                <c:pt idx="32">
                  <c:v>24</c:v>
                </c:pt>
                <c:pt idx="33">
                  <c:v>24</c:v>
                </c:pt>
                <c:pt idx="34">
                  <c:v>24</c:v>
                </c:pt>
                <c:pt idx="35">
                  <c:v>24</c:v>
                </c:pt>
                <c:pt idx="36">
                  <c:v>24</c:v>
                </c:pt>
                <c:pt idx="37">
                  <c:v>26</c:v>
                </c:pt>
                <c:pt idx="38">
                  <c:v>25</c:v>
                </c:pt>
                <c:pt idx="39">
                  <c:v>26</c:v>
                </c:pt>
                <c:pt idx="40">
                  <c:v>25</c:v>
                </c:pt>
                <c:pt idx="41">
                  <c:v>25</c:v>
                </c:pt>
                <c:pt idx="42">
                  <c:v>26</c:v>
                </c:pt>
                <c:pt idx="43">
                  <c:v>24</c:v>
                </c:pt>
                <c:pt idx="44">
                  <c:v>24</c:v>
                </c:pt>
                <c:pt idx="45">
                  <c:v>26</c:v>
                </c:pt>
                <c:pt idx="46">
                  <c:v>25</c:v>
                </c:pt>
                <c:pt idx="47">
                  <c:v>27</c:v>
                </c:pt>
                <c:pt idx="48">
                  <c:v>27</c:v>
                </c:pt>
                <c:pt idx="49">
                  <c:v>26</c:v>
                </c:pt>
                <c:pt idx="50">
                  <c:v>26</c:v>
                </c:pt>
                <c:pt idx="51">
                  <c:v>27</c:v>
                </c:pt>
                <c:pt idx="52">
                  <c:v>27</c:v>
                </c:pt>
                <c:pt idx="53">
                  <c:v>28</c:v>
                </c:pt>
                <c:pt idx="54">
                  <c:v>26</c:v>
                </c:pt>
                <c:pt idx="55">
                  <c:v>29</c:v>
                </c:pt>
                <c:pt idx="56">
                  <c:v>28</c:v>
                </c:pt>
                <c:pt idx="57">
                  <c:v>27</c:v>
                </c:pt>
                <c:pt idx="58">
                  <c:v>29</c:v>
                </c:pt>
                <c:pt idx="59">
                  <c:v>27</c:v>
                </c:pt>
                <c:pt idx="60">
                  <c:v>30</c:v>
                </c:pt>
                <c:pt idx="61">
                  <c:v>30</c:v>
                </c:pt>
                <c:pt idx="62">
                  <c:v>29</c:v>
                </c:pt>
                <c:pt idx="63">
                  <c:v>31</c:v>
                </c:pt>
                <c:pt idx="64">
                  <c:v>31</c:v>
                </c:pt>
                <c:pt idx="65">
                  <c:v>31</c:v>
                </c:pt>
                <c:pt idx="66">
                  <c:v>32</c:v>
                </c:pt>
                <c:pt idx="67">
                  <c:v>30</c:v>
                </c:pt>
                <c:pt idx="68">
                  <c:v>33</c:v>
                </c:pt>
                <c:pt idx="69">
                  <c:v>34</c:v>
                </c:pt>
                <c:pt idx="70">
                  <c:v>35</c:v>
                </c:pt>
                <c:pt idx="71">
                  <c:v>36</c:v>
                </c:pt>
                <c:pt idx="72">
                  <c:v>36</c:v>
                </c:pt>
                <c:pt idx="73">
                  <c:v>39</c:v>
                </c:pt>
                <c:pt idx="74">
                  <c:v>39</c:v>
                </c:pt>
                <c:pt idx="75">
                  <c:v>43</c:v>
                </c:pt>
                <c:pt idx="76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A9-4F38-943E-2D7B74934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'12g_CO2_Cold_1'!$B$3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'12g_CO2_Cold_1'!$E$3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'12g_CO2_Cold_2'!$E$4:$E$1048576</c:f>
              <c:numCache>
                <c:formatCode>General</c:formatCode>
                <c:ptCount val="1048573"/>
                <c:pt idx="0">
                  <c:v>20</c:v>
                </c:pt>
                <c:pt idx="1">
                  <c:v>21</c:v>
                </c:pt>
                <c:pt idx="2">
                  <c:v>20</c:v>
                </c:pt>
                <c:pt idx="3">
                  <c:v>20</c:v>
                </c:pt>
                <c:pt idx="4">
                  <c:v>22</c:v>
                </c:pt>
                <c:pt idx="5">
                  <c:v>21</c:v>
                </c:pt>
                <c:pt idx="6">
                  <c:v>22</c:v>
                </c:pt>
                <c:pt idx="7">
                  <c:v>22</c:v>
                </c:pt>
                <c:pt idx="8">
                  <c:v>21</c:v>
                </c:pt>
                <c:pt idx="9">
                  <c:v>22</c:v>
                </c:pt>
                <c:pt idx="10">
                  <c:v>22</c:v>
                </c:pt>
                <c:pt idx="11">
                  <c:v>22</c:v>
                </c:pt>
                <c:pt idx="12">
                  <c:v>21</c:v>
                </c:pt>
                <c:pt idx="13">
                  <c:v>23</c:v>
                </c:pt>
                <c:pt idx="14">
                  <c:v>22</c:v>
                </c:pt>
                <c:pt idx="15">
                  <c:v>22</c:v>
                </c:pt>
                <c:pt idx="17">
                  <c:v>23</c:v>
                </c:pt>
                <c:pt idx="18">
                  <c:v>23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24</c:v>
                </c:pt>
                <c:pt idx="23">
                  <c:v>23</c:v>
                </c:pt>
                <c:pt idx="24">
                  <c:v>23</c:v>
                </c:pt>
                <c:pt idx="25">
                  <c:v>24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24</c:v>
                </c:pt>
                <c:pt idx="30">
                  <c:v>25</c:v>
                </c:pt>
                <c:pt idx="31">
                  <c:v>25</c:v>
                </c:pt>
                <c:pt idx="32">
                  <c:v>24</c:v>
                </c:pt>
                <c:pt idx="34">
                  <c:v>26</c:v>
                </c:pt>
                <c:pt idx="35">
                  <c:v>25</c:v>
                </c:pt>
                <c:pt idx="36">
                  <c:v>27</c:v>
                </c:pt>
                <c:pt idx="37">
                  <c:v>25</c:v>
                </c:pt>
                <c:pt idx="38">
                  <c:v>24</c:v>
                </c:pt>
                <c:pt idx="39">
                  <c:v>26</c:v>
                </c:pt>
                <c:pt idx="40">
                  <c:v>26</c:v>
                </c:pt>
                <c:pt idx="41">
                  <c:v>25</c:v>
                </c:pt>
                <c:pt idx="42">
                  <c:v>26</c:v>
                </c:pt>
                <c:pt idx="45">
                  <c:v>25</c:v>
                </c:pt>
                <c:pt idx="46">
                  <c:v>26</c:v>
                </c:pt>
                <c:pt idx="47">
                  <c:v>26</c:v>
                </c:pt>
                <c:pt idx="48">
                  <c:v>26</c:v>
                </c:pt>
                <c:pt idx="50">
                  <c:v>28</c:v>
                </c:pt>
                <c:pt idx="51">
                  <c:v>27</c:v>
                </c:pt>
                <c:pt idx="53">
                  <c:v>26</c:v>
                </c:pt>
                <c:pt idx="54">
                  <c:v>28</c:v>
                </c:pt>
                <c:pt idx="55">
                  <c:v>27</c:v>
                </c:pt>
                <c:pt idx="56">
                  <c:v>27</c:v>
                </c:pt>
                <c:pt idx="58">
                  <c:v>30</c:v>
                </c:pt>
                <c:pt idx="59">
                  <c:v>30</c:v>
                </c:pt>
                <c:pt idx="60">
                  <c:v>30</c:v>
                </c:pt>
                <c:pt idx="61">
                  <c:v>30</c:v>
                </c:pt>
                <c:pt idx="62">
                  <c:v>31</c:v>
                </c:pt>
                <c:pt idx="63">
                  <c:v>32</c:v>
                </c:pt>
                <c:pt idx="64">
                  <c:v>32</c:v>
                </c:pt>
                <c:pt idx="65">
                  <c:v>33</c:v>
                </c:pt>
                <c:pt idx="66">
                  <c:v>33</c:v>
                </c:pt>
                <c:pt idx="67">
                  <c:v>34</c:v>
                </c:pt>
                <c:pt idx="68">
                  <c:v>37</c:v>
                </c:pt>
                <c:pt idx="69">
                  <c:v>37</c:v>
                </c:pt>
                <c:pt idx="70">
                  <c:v>38</c:v>
                </c:pt>
                <c:pt idx="71">
                  <c:v>38</c:v>
                </c:pt>
                <c:pt idx="72">
                  <c:v>40</c:v>
                </c:pt>
                <c:pt idx="73">
                  <c:v>37</c:v>
                </c:pt>
                <c:pt idx="74">
                  <c:v>39</c:v>
                </c:pt>
                <c:pt idx="75">
                  <c:v>43</c:v>
                </c:pt>
                <c:pt idx="76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CF-4014-B367-63F07193C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'12g_CO2_Cold_2'!$B$3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'12g_CO2_Cold_2'!$E$3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'12g_CO2_Cold_3'!$E$4:$E$1048576</c:f>
              <c:numCache>
                <c:formatCode>General</c:formatCode>
                <c:ptCount val="1048573"/>
                <c:pt idx="0">
                  <c:v>19</c:v>
                </c:pt>
                <c:pt idx="1">
                  <c:v>20</c:v>
                </c:pt>
                <c:pt idx="2">
                  <c:v>19</c:v>
                </c:pt>
                <c:pt idx="3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20</c:v>
                </c:pt>
                <c:pt idx="8">
                  <c:v>21</c:v>
                </c:pt>
                <c:pt idx="9">
                  <c:v>20</c:v>
                </c:pt>
                <c:pt idx="10">
                  <c:v>21</c:v>
                </c:pt>
                <c:pt idx="11">
                  <c:v>20</c:v>
                </c:pt>
                <c:pt idx="12">
                  <c:v>22</c:v>
                </c:pt>
                <c:pt idx="13">
                  <c:v>22</c:v>
                </c:pt>
                <c:pt idx="14">
                  <c:v>21</c:v>
                </c:pt>
                <c:pt idx="15">
                  <c:v>22</c:v>
                </c:pt>
                <c:pt idx="17">
                  <c:v>22</c:v>
                </c:pt>
                <c:pt idx="18">
                  <c:v>22</c:v>
                </c:pt>
                <c:pt idx="19">
                  <c:v>21</c:v>
                </c:pt>
                <c:pt idx="20">
                  <c:v>22</c:v>
                </c:pt>
                <c:pt idx="21">
                  <c:v>21</c:v>
                </c:pt>
                <c:pt idx="22">
                  <c:v>22</c:v>
                </c:pt>
                <c:pt idx="23">
                  <c:v>21</c:v>
                </c:pt>
                <c:pt idx="25">
                  <c:v>23</c:v>
                </c:pt>
                <c:pt idx="26">
                  <c:v>23</c:v>
                </c:pt>
                <c:pt idx="27">
                  <c:v>22</c:v>
                </c:pt>
                <c:pt idx="28">
                  <c:v>24</c:v>
                </c:pt>
                <c:pt idx="29">
                  <c:v>22</c:v>
                </c:pt>
                <c:pt idx="30">
                  <c:v>23</c:v>
                </c:pt>
                <c:pt idx="31">
                  <c:v>23</c:v>
                </c:pt>
                <c:pt idx="33">
                  <c:v>23</c:v>
                </c:pt>
                <c:pt idx="34">
                  <c:v>24</c:v>
                </c:pt>
                <c:pt idx="35">
                  <c:v>24</c:v>
                </c:pt>
                <c:pt idx="36">
                  <c:v>25</c:v>
                </c:pt>
                <c:pt idx="37">
                  <c:v>25</c:v>
                </c:pt>
                <c:pt idx="38">
                  <c:v>25</c:v>
                </c:pt>
                <c:pt idx="39">
                  <c:v>25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26</c:v>
                </c:pt>
                <c:pt idx="44">
                  <c:v>26</c:v>
                </c:pt>
                <c:pt idx="47">
                  <c:v>26</c:v>
                </c:pt>
                <c:pt idx="48">
                  <c:v>27</c:v>
                </c:pt>
                <c:pt idx="50">
                  <c:v>27</c:v>
                </c:pt>
                <c:pt idx="52">
                  <c:v>29</c:v>
                </c:pt>
                <c:pt idx="53">
                  <c:v>28</c:v>
                </c:pt>
                <c:pt idx="54">
                  <c:v>30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32</c:v>
                </c:pt>
                <c:pt idx="60">
                  <c:v>32</c:v>
                </c:pt>
                <c:pt idx="61">
                  <c:v>33</c:v>
                </c:pt>
                <c:pt idx="62">
                  <c:v>33</c:v>
                </c:pt>
                <c:pt idx="63">
                  <c:v>35</c:v>
                </c:pt>
                <c:pt idx="64">
                  <c:v>35</c:v>
                </c:pt>
                <c:pt idx="65">
                  <c:v>35</c:v>
                </c:pt>
                <c:pt idx="66">
                  <c:v>37</c:v>
                </c:pt>
                <c:pt idx="67">
                  <c:v>39</c:v>
                </c:pt>
                <c:pt idx="68">
                  <c:v>37</c:v>
                </c:pt>
                <c:pt idx="69">
                  <c:v>41</c:v>
                </c:pt>
                <c:pt idx="70">
                  <c:v>38</c:v>
                </c:pt>
                <c:pt idx="71">
                  <c:v>38</c:v>
                </c:pt>
                <c:pt idx="72">
                  <c:v>40</c:v>
                </c:pt>
                <c:pt idx="73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BC-4FCB-AE3A-A62AEAE60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'12g_CO2_Cold_3'!$B$3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'12g_CO2_Cold_3'!$E$3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- Comparing 12 or 18 grams of CO2 in different Temps</a:t>
            </a:r>
            <a:endParaRPr lang="en-US" sz="2400"/>
          </a:p>
        </c:rich>
      </c:tx>
      <c:layout>
        <c:manualLayout>
          <c:xMode val="edge"/>
          <c:yMode val="edge"/>
          <c:x val="1.2340304052902477E-2"/>
          <c:y val="1.60160160160160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966492824760532E-2"/>
          <c:y val="0.18636636636636636"/>
          <c:w val="0.73557571469353711"/>
          <c:h val="0.72473812395072257"/>
        </c:manualLayout>
      </c:layout>
      <c:scatterChart>
        <c:scatterStyle val="lineMarker"/>
        <c:varyColors val="0"/>
        <c:ser>
          <c:idx val="3"/>
          <c:order val="3"/>
          <c:tx>
            <c:v>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'12g_CO2_AVG''s'!$G$5:$G$78</c:f>
              <c:numCache>
                <c:formatCode>General</c:formatCode>
                <c:ptCount val="74"/>
                <c:pt idx="0">
                  <c:v>19.666666666666668</c:v>
                </c:pt>
                <c:pt idx="1">
                  <c:v>20.333333333333332</c:v>
                </c:pt>
                <c:pt idx="2">
                  <c:v>20.333333333333332</c:v>
                </c:pt>
                <c:pt idx="3">
                  <c:v>20.333333333333332</c:v>
                </c:pt>
                <c:pt idx="4">
                  <c:v>22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21.333333333333332</c:v>
                </c:pt>
                <c:pt idx="10">
                  <c:v>21.666666666666668</c:v>
                </c:pt>
                <c:pt idx="11">
                  <c:v>21.333333333333332</c:v>
                </c:pt>
                <c:pt idx="12">
                  <c:v>21.666666666666668</c:v>
                </c:pt>
                <c:pt idx="13">
                  <c:v>22</c:v>
                </c:pt>
                <c:pt idx="14">
                  <c:v>21.666666666666668</c:v>
                </c:pt>
                <c:pt idx="15">
                  <c:v>22</c:v>
                </c:pt>
                <c:pt idx="16">
                  <c:v>22</c:v>
                </c:pt>
                <c:pt idx="17">
                  <c:v>22.666666666666668</c:v>
                </c:pt>
                <c:pt idx="18">
                  <c:v>22.5</c:v>
                </c:pt>
                <c:pt idx="19">
                  <c:v>22</c:v>
                </c:pt>
                <c:pt idx="20">
                  <c:v>23</c:v>
                </c:pt>
                <c:pt idx="21">
                  <c:v>22.5</c:v>
                </c:pt>
                <c:pt idx="22">
                  <c:v>23</c:v>
                </c:pt>
                <c:pt idx="23">
                  <c:v>22.333333333333332</c:v>
                </c:pt>
                <c:pt idx="24">
                  <c:v>23</c:v>
                </c:pt>
                <c:pt idx="25">
                  <c:v>23.5</c:v>
                </c:pt>
                <c:pt idx="26">
                  <c:v>23.333333333333332</c:v>
                </c:pt>
                <c:pt idx="27">
                  <c:v>23.333333333333332</c:v>
                </c:pt>
                <c:pt idx="28">
                  <c:v>24</c:v>
                </c:pt>
                <c:pt idx="29">
                  <c:v>23.333333333333332</c:v>
                </c:pt>
                <c:pt idx="30">
                  <c:v>23.666666666666668</c:v>
                </c:pt>
                <c:pt idx="31">
                  <c:v>24.333333333333332</c:v>
                </c:pt>
                <c:pt idx="32">
                  <c:v>24</c:v>
                </c:pt>
                <c:pt idx="33">
                  <c:v>23.5</c:v>
                </c:pt>
                <c:pt idx="34">
                  <c:v>24.666666666666668</c:v>
                </c:pt>
                <c:pt idx="35">
                  <c:v>24.333333333333332</c:v>
                </c:pt>
                <c:pt idx="36">
                  <c:v>25.333333333333332</c:v>
                </c:pt>
                <c:pt idx="37">
                  <c:v>25.333333333333332</c:v>
                </c:pt>
                <c:pt idx="38">
                  <c:v>24.666666666666668</c:v>
                </c:pt>
                <c:pt idx="39">
                  <c:v>25.666666666666668</c:v>
                </c:pt>
                <c:pt idx="40">
                  <c:v>25</c:v>
                </c:pt>
                <c:pt idx="41">
                  <c:v>24.666666666666668</c:v>
                </c:pt>
                <c:pt idx="42">
                  <c:v>25.333333333333332</c:v>
                </c:pt>
                <c:pt idx="43">
                  <c:v>25</c:v>
                </c:pt>
                <c:pt idx="44">
                  <c:v>25</c:v>
                </c:pt>
                <c:pt idx="45">
                  <c:v>25.5</c:v>
                </c:pt>
                <c:pt idx="46">
                  <c:v>25.5</c:v>
                </c:pt>
                <c:pt idx="47">
                  <c:v>26.333333333333332</c:v>
                </c:pt>
                <c:pt idx="48">
                  <c:v>26.666666666666668</c:v>
                </c:pt>
                <c:pt idx="49">
                  <c:v>26</c:v>
                </c:pt>
                <c:pt idx="50">
                  <c:v>27</c:v>
                </c:pt>
                <c:pt idx="51">
                  <c:v>27</c:v>
                </c:pt>
                <c:pt idx="52">
                  <c:v>28</c:v>
                </c:pt>
                <c:pt idx="53">
                  <c:v>27.333333333333332</c:v>
                </c:pt>
                <c:pt idx="54">
                  <c:v>28</c:v>
                </c:pt>
                <c:pt idx="55">
                  <c:v>28.666666666666668</c:v>
                </c:pt>
                <c:pt idx="56">
                  <c:v>28.333333333333332</c:v>
                </c:pt>
                <c:pt idx="57">
                  <c:v>29</c:v>
                </c:pt>
                <c:pt idx="58">
                  <c:v>30</c:v>
                </c:pt>
                <c:pt idx="59">
                  <c:v>29.666666666666668</c:v>
                </c:pt>
                <c:pt idx="60">
                  <c:v>30.666666666666668</c:v>
                </c:pt>
                <c:pt idx="61">
                  <c:v>31</c:v>
                </c:pt>
                <c:pt idx="62">
                  <c:v>31</c:v>
                </c:pt>
                <c:pt idx="63">
                  <c:v>32.666666666666664</c:v>
                </c:pt>
                <c:pt idx="64">
                  <c:v>32.666666666666664</c:v>
                </c:pt>
                <c:pt idx="65">
                  <c:v>33</c:v>
                </c:pt>
                <c:pt idx="66">
                  <c:v>34</c:v>
                </c:pt>
                <c:pt idx="67">
                  <c:v>34.333333333333336</c:v>
                </c:pt>
                <c:pt idx="68">
                  <c:v>35.666666666666664</c:v>
                </c:pt>
                <c:pt idx="69">
                  <c:v>37.333333333333336</c:v>
                </c:pt>
                <c:pt idx="70">
                  <c:v>37</c:v>
                </c:pt>
                <c:pt idx="71">
                  <c:v>37.333333333333336</c:v>
                </c:pt>
                <c:pt idx="72">
                  <c:v>38.666666666666664</c:v>
                </c:pt>
                <c:pt idx="73">
                  <c:v>39.666666666666664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E-434D-B50D-C021241CC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44432"/>
        <c:axId val="39908724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1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yVal>
                  <c:numRef>
                    <c:extLst>
                      <c:ext uri="{02D57815-91ED-43cb-92C2-25804820EDAC}">
                        <c15:formulaRef>
                          <c15:sqref>'12g_CO2_Cold_1'!$E$4:$E$80</c15:sqref>
                        </c15:formulaRef>
                      </c:ext>
                    </c:extLst>
                    <c:numCache>
                      <c:formatCode>General</c:formatCode>
                      <c:ptCount val="77"/>
                      <c:pt idx="0">
                        <c:v>20</c:v>
                      </c:pt>
                      <c:pt idx="1">
                        <c:v>20</c:v>
                      </c:pt>
                      <c:pt idx="2">
                        <c:v>22</c:v>
                      </c:pt>
                      <c:pt idx="3">
                        <c:v>20</c:v>
                      </c:pt>
                      <c:pt idx="4">
                        <c:v>22</c:v>
                      </c:pt>
                      <c:pt idx="5">
                        <c:v>21</c:v>
                      </c:pt>
                      <c:pt idx="6">
                        <c:v>20</c:v>
                      </c:pt>
                      <c:pt idx="7">
                        <c:v>21</c:v>
                      </c:pt>
                      <c:pt idx="8">
                        <c:v>21</c:v>
                      </c:pt>
                      <c:pt idx="9">
                        <c:v>22</c:v>
                      </c:pt>
                      <c:pt idx="10">
                        <c:v>22</c:v>
                      </c:pt>
                      <c:pt idx="11">
                        <c:v>22</c:v>
                      </c:pt>
                      <c:pt idx="12">
                        <c:v>22</c:v>
                      </c:pt>
                      <c:pt idx="13">
                        <c:v>21</c:v>
                      </c:pt>
                      <c:pt idx="14">
                        <c:v>22</c:v>
                      </c:pt>
                      <c:pt idx="15">
                        <c:v>22</c:v>
                      </c:pt>
                      <c:pt idx="16">
                        <c:v>22</c:v>
                      </c:pt>
                      <c:pt idx="17">
                        <c:v>23</c:v>
                      </c:pt>
                      <c:pt idx="19">
                        <c:v>23</c:v>
                      </c:pt>
                      <c:pt idx="20">
                        <c:v>24</c:v>
                      </c:pt>
                      <c:pt idx="22">
                        <c:v>23</c:v>
                      </c:pt>
                      <c:pt idx="23">
                        <c:v>23</c:v>
                      </c:pt>
                      <c:pt idx="24">
                        <c:v>23</c:v>
                      </c:pt>
                      <c:pt idx="26">
                        <c:v>23</c:v>
                      </c:pt>
                      <c:pt idx="27">
                        <c:v>24</c:v>
                      </c:pt>
                      <c:pt idx="28">
                        <c:v>24</c:v>
                      </c:pt>
                      <c:pt idx="29">
                        <c:v>24</c:v>
                      </c:pt>
                      <c:pt idx="30">
                        <c:v>23</c:v>
                      </c:pt>
                      <c:pt idx="31">
                        <c:v>25</c:v>
                      </c:pt>
                      <c:pt idx="32">
                        <c:v>24</c:v>
                      </c:pt>
                      <c:pt idx="33">
                        <c:v>24</c:v>
                      </c:pt>
                      <c:pt idx="34">
                        <c:v>24</c:v>
                      </c:pt>
                      <c:pt idx="35">
                        <c:v>24</c:v>
                      </c:pt>
                      <c:pt idx="36">
                        <c:v>24</c:v>
                      </c:pt>
                      <c:pt idx="37">
                        <c:v>26</c:v>
                      </c:pt>
                      <c:pt idx="38">
                        <c:v>25</c:v>
                      </c:pt>
                      <c:pt idx="39">
                        <c:v>26</c:v>
                      </c:pt>
                      <c:pt idx="40">
                        <c:v>25</c:v>
                      </c:pt>
                      <c:pt idx="41">
                        <c:v>25</c:v>
                      </c:pt>
                      <c:pt idx="42">
                        <c:v>26</c:v>
                      </c:pt>
                      <c:pt idx="43">
                        <c:v>24</c:v>
                      </c:pt>
                      <c:pt idx="44">
                        <c:v>24</c:v>
                      </c:pt>
                      <c:pt idx="45">
                        <c:v>26</c:v>
                      </c:pt>
                      <c:pt idx="46">
                        <c:v>25</c:v>
                      </c:pt>
                      <c:pt idx="47">
                        <c:v>27</c:v>
                      </c:pt>
                      <c:pt idx="48">
                        <c:v>27</c:v>
                      </c:pt>
                      <c:pt idx="49">
                        <c:v>26</c:v>
                      </c:pt>
                      <c:pt idx="50">
                        <c:v>26</c:v>
                      </c:pt>
                      <c:pt idx="51">
                        <c:v>27</c:v>
                      </c:pt>
                      <c:pt idx="52">
                        <c:v>27</c:v>
                      </c:pt>
                      <c:pt idx="53">
                        <c:v>28</c:v>
                      </c:pt>
                      <c:pt idx="54">
                        <c:v>26</c:v>
                      </c:pt>
                      <c:pt idx="55">
                        <c:v>29</c:v>
                      </c:pt>
                      <c:pt idx="56">
                        <c:v>28</c:v>
                      </c:pt>
                      <c:pt idx="57">
                        <c:v>27</c:v>
                      </c:pt>
                      <c:pt idx="58">
                        <c:v>29</c:v>
                      </c:pt>
                      <c:pt idx="59">
                        <c:v>27</c:v>
                      </c:pt>
                      <c:pt idx="60">
                        <c:v>30</c:v>
                      </c:pt>
                      <c:pt idx="61">
                        <c:v>30</c:v>
                      </c:pt>
                      <c:pt idx="62">
                        <c:v>29</c:v>
                      </c:pt>
                      <c:pt idx="63">
                        <c:v>31</c:v>
                      </c:pt>
                      <c:pt idx="64">
                        <c:v>31</c:v>
                      </c:pt>
                      <c:pt idx="65">
                        <c:v>31</c:v>
                      </c:pt>
                      <c:pt idx="66">
                        <c:v>32</c:v>
                      </c:pt>
                      <c:pt idx="67">
                        <c:v>30</c:v>
                      </c:pt>
                      <c:pt idx="68">
                        <c:v>33</c:v>
                      </c:pt>
                      <c:pt idx="69">
                        <c:v>34</c:v>
                      </c:pt>
                      <c:pt idx="70">
                        <c:v>35</c:v>
                      </c:pt>
                      <c:pt idx="71">
                        <c:v>36</c:v>
                      </c:pt>
                      <c:pt idx="72">
                        <c:v>36</c:v>
                      </c:pt>
                      <c:pt idx="73">
                        <c:v>39</c:v>
                      </c:pt>
                      <c:pt idx="74">
                        <c:v>39</c:v>
                      </c:pt>
                      <c:pt idx="75">
                        <c:v>43</c:v>
                      </c:pt>
                      <c:pt idx="76">
                        <c:v>45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57AE-4000-96E2-DFEC7E1A74FD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v>2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'12g_CO2_Cold_2'!$E$4:$E$80</c15:sqref>
                        </c15:formulaRef>
                      </c:ext>
                    </c:extLst>
                    <c:numCache>
                      <c:formatCode>General</c:formatCode>
                      <c:ptCount val="77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20</c:v>
                      </c:pt>
                      <c:pt idx="3">
                        <c:v>20</c:v>
                      </c:pt>
                      <c:pt idx="4">
                        <c:v>22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22</c:v>
                      </c:pt>
                      <c:pt idx="8">
                        <c:v>21</c:v>
                      </c:pt>
                      <c:pt idx="9">
                        <c:v>22</c:v>
                      </c:pt>
                      <c:pt idx="10">
                        <c:v>22</c:v>
                      </c:pt>
                      <c:pt idx="11">
                        <c:v>22</c:v>
                      </c:pt>
                      <c:pt idx="12">
                        <c:v>21</c:v>
                      </c:pt>
                      <c:pt idx="13">
                        <c:v>23</c:v>
                      </c:pt>
                      <c:pt idx="14">
                        <c:v>22</c:v>
                      </c:pt>
                      <c:pt idx="15">
                        <c:v>22</c:v>
                      </c:pt>
                      <c:pt idx="17">
                        <c:v>23</c:v>
                      </c:pt>
                      <c:pt idx="18">
                        <c:v>23</c:v>
                      </c:pt>
                      <c:pt idx="19">
                        <c:v>22</c:v>
                      </c:pt>
                      <c:pt idx="20">
                        <c:v>23</c:v>
                      </c:pt>
                      <c:pt idx="21">
                        <c:v>24</c:v>
                      </c:pt>
                      <c:pt idx="22">
                        <c:v>24</c:v>
                      </c:pt>
                      <c:pt idx="23">
                        <c:v>23</c:v>
                      </c:pt>
                      <c:pt idx="24">
                        <c:v>23</c:v>
                      </c:pt>
                      <c:pt idx="25">
                        <c:v>24</c:v>
                      </c:pt>
                      <c:pt idx="26">
                        <c:v>24</c:v>
                      </c:pt>
                      <c:pt idx="27">
                        <c:v>24</c:v>
                      </c:pt>
                      <c:pt idx="28">
                        <c:v>24</c:v>
                      </c:pt>
                      <c:pt idx="29">
                        <c:v>24</c:v>
                      </c:pt>
                      <c:pt idx="30">
                        <c:v>25</c:v>
                      </c:pt>
                      <c:pt idx="31">
                        <c:v>25</c:v>
                      </c:pt>
                      <c:pt idx="32">
                        <c:v>24</c:v>
                      </c:pt>
                      <c:pt idx="34">
                        <c:v>26</c:v>
                      </c:pt>
                      <c:pt idx="35">
                        <c:v>25</c:v>
                      </c:pt>
                      <c:pt idx="36">
                        <c:v>27</c:v>
                      </c:pt>
                      <c:pt idx="37">
                        <c:v>25</c:v>
                      </c:pt>
                      <c:pt idx="38">
                        <c:v>24</c:v>
                      </c:pt>
                      <c:pt idx="39">
                        <c:v>26</c:v>
                      </c:pt>
                      <c:pt idx="40">
                        <c:v>26</c:v>
                      </c:pt>
                      <c:pt idx="41">
                        <c:v>25</c:v>
                      </c:pt>
                      <c:pt idx="42">
                        <c:v>26</c:v>
                      </c:pt>
                      <c:pt idx="45">
                        <c:v>25</c:v>
                      </c:pt>
                      <c:pt idx="46">
                        <c:v>26</c:v>
                      </c:pt>
                      <c:pt idx="47">
                        <c:v>26</c:v>
                      </c:pt>
                      <c:pt idx="48">
                        <c:v>26</c:v>
                      </c:pt>
                      <c:pt idx="50">
                        <c:v>28</c:v>
                      </c:pt>
                      <c:pt idx="51">
                        <c:v>27</c:v>
                      </c:pt>
                      <c:pt idx="53">
                        <c:v>26</c:v>
                      </c:pt>
                      <c:pt idx="54">
                        <c:v>28</c:v>
                      </c:pt>
                      <c:pt idx="55">
                        <c:v>27</c:v>
                      </c:pt>
                      <c:pt idx="56">
                        <c:v>27</c:v>
                      </c:pt>
                      <c:pt idx="58">
                        <c:v>30</c:v>
                      </c:pt>
                      <c:pt idx="59">
                        <c:v>30</c:v>
                      </c:pt>
                      <c:pt idx="60">
                        <c:v>30</c:v>
                      </c:pt>
                      <c:pt idx="61">
                        <c:v>30</c:v>
                      </c:pt>
                      <c:pt idx="62">
                        <c:v>31</c:v>
                      </c:pt>
                      <c:pt idx="63">
                        <c:v>32</c:v>
                      </c:pt>
                      <c:pt idx="64">
                        <c:v>32</c:v>
                      </c:pt>
                      <c:pt idx="65">
                        <c:v>33</c:v>
                      </c:pt>
                      <c:pt idx="66">
                        <c:v>33</c:v>
                      </c:pt>
                      <c:pt idx="67">
                        <c:v>34</c:v>
                      </c:pt>
                      <c:pt idx="68">
                        <c:v>37</c:v>
                      </c:pt>
                      <c:pt idx="69">
                        <c:v>37</c:v>
                      </c:pt>
                      <c:pt idx="70">
                        <c:v>38</c:v>
                      </c:pt>
                      <c:pt idx="71">
                        <c:v>38</c:v>
                      </c:pt>
                      <c:pt idx="72">
                        <c:v>40</c:v>
                      </c:pt>
                      <c:pt idx="73">
                        <c:v>37</c:v>
                      </c:pt>
                      <c:pt idx="74">
                        <c:v>39</c:v>
                      </c:pt>
                      <c:pt idx="75">
                        <c:v>43</c:v>
                      </c:pt>
                      <c:pt idx="76">
                        <c:v>43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57AE-4000-96E2-DFEC7E1A74F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v>3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'12g_CO2_Cold_3'!$E$4:$E$77</c15:sqref>
                        </c15:formulaRef>
                      </c:ext>
                    </c:extLst>
                    <c:numCache>
                      <c:formatCode>General</c:formatCode>
                      <c:ptCount val="74"/>
                      <c:pt idx="0">
                        <c:v>19</c:v>
                      </c:pt>
                      <c:pt idx="1">
                        <c:v>20</c:v>
                      </c:pt>
                      <c:pt idx="2">
                        <c:v>19</c:v>
                      </c:pt>
                      <c:pt idx="3">
                        <c:v>21</c:v>
                      </c:pt>
                      <c:pt idx="5">
                        <c:v>21</c:v>
                      </c:pt>
                      <c:pt idx="6">
                        <c:v>21</c:v>
                      </c:pt>
                      <c:pt idx="7">
                        <c:v>20</c:v>
                      </c:pt>
                      <c:pt idx="8">
                        <c:v>21</c:v>
                      </c:pt>
                      <c:pt idx="9">
                        <c:v>20</c:v>
                      </c:pt>
                      <c:pt idx="10">
                        <c:v>21</c:v>
                      </c:pt>
                      <c:pt idx="11">
                        <c:v>20</c:v>
                      </c:pt>
                      <c:pt idx="12">
                        <c:v>22</c:v>
                      </c:pt>
                      <c:pt idx="13">
                        <c:v>22</c:v>
                      </c:pt>
                      <c:pt idx="14">
                        <c:v>21</c:v>
                      </c:pt>
                      <c:pt idx="15">
                        <c:v>22</c:v>
                      </c:pt>
                      <c:pt idx="17">
                        <c:v>22</c:v>
                      </c:pt>
                      <c:pt idx="18">
                        <c:v>22</c:v>
                      </c:pt>
                      <c:pt idx="19">
                        <c:v>21</c:v>
                      </c:pt>
                      <c:pt idx="20">
                        <c:v>22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21</c:v>
                      </c:pt>
                      <c:pt idx="25">
                        <c:v>23</c:v>
                      </c:pt>
                      <c:pt idx="26">
                        <c:v>23</c:v>
                      </c:pt>
                      <c:pt idx="27">
                        <c:v>22</c:v>
                      </c:pt>
                      <c:pt idx="28">
                        <c:v>24</c:v>
                      </c:pt>
                      <c:pt idx="29">
                        <c:v>22</c:v>
                      </c:pt>
                      <c:pt idx="30">
                        <c:v>23</c:v>
                      </c:pt>
                      <c:pt idx="31">
                        <c:v>23</c:v>
                      </c:pt>
                      <c:pt idx="33">
                        <c:v>23</c:v>
                      </c:pt>
                      <c:pt idx="34">
                        <c:v>24</c:v>
                      </c:pt>
                      <c:pt idx="35">
                        <c:v>24</c:v>
                      </c:pt>
                      <c:pt idx="36">
                        <c:v>25</c:v>
                      </c:pt>
                      <c:pt idx="37">
                        <c:v>25</c:v>
                      </c:pt>
                      <c:pt idx="38">
                        <c:v>25</c:v>
                      </c:pt>
                      <c:pt idx="39">
                        <c:v>25</c:v>
                      </c:pt>
                      <c:pt idx="40">
                        <c:v>24</c:v>
                      </c:pt>
                      <c:pt idx="41">
                        <c:v>24</c:v>
                      </c:pt>
                      <c:pt idx="42">
                        <c:v>24</c:v>
                      </c:pt>
                      <c:pt idx="43">
                        <c:v>26</c:v>
                      </c:pt>
                      <c:pt idx="44">
                        <c:v>26</c:v>
                      </c:pt>
                      <c:pt idx="47">
                        <c:v>26</c:v>
                      </c:pt>
                      <c:pt idx="48">
                        <c:v>27</c:v>
                      </c:pt>
                      <c:pt idx="50">
                        <c:v>27</c:v>
                      </c:pt>
                      <c:pt idx="52">
                        <c:v>29</c:v>
                      </c:pt>
                      <c:pt idx="53">
                        <c:v>28</c:v>
                      </c:pt>
                      <c:pt idx="54">
                        <c:v>30</c:v>
                      </c:pt>
                      <c:pt idx="55">
                        <c:v>30</c:v>
                      </c:pt>
                      <c:pt idx="56">
                        <c:v>30</c:v>
                      </c:pt>
                      <c:pt idx="57">
                        <c:v>31</c:v>
                      </c:pt>
                      <c:pt idx="58">
                        <c:v>31</c:v>
                      </c:pt>
                      <c:pt idx="59">
                        <c:v>32</c:v>
                      </c:pt>
                      <c:pt idx="60">
                        <c:v>32</c:v>
                      </c:pt>
                      <c:pt idx="61">
                        <c:v>33</c:v>
                      </c:pt>
                      <c:pt idx="62">
                        <c:v>33</c:v>
                      </c:pt>
                      <c:pt idx="63">
                        <c:v>35</c:v>
                      </c:pt>
                      <c:pt idx="64">
                        <c:v>35</c:v>
                      </c:pt>
                      <c:pt idx="65">
                        <c:v>35</c:v>
                      </c:pt>
                      <c:pt idx="66">
                        <c:v>37</c:v>
                      </c:pt>
                      <c:pt idx="67">
                        <c:v>39</c:v>
                      </c:pt>
                      <c:pt idx="68">
                        <c:v>37</c:v>
                      </c:pt>
                      <c:pt idx="69">
                        <c:v>41</c:v>
                      </c:pt>
                      <c:pt idx="70">
                        <c:v>38</c:v>
                      </c:pt>
                      <c:pt idx="71">
                        <c:v>38</c:v>
                      </c:pt>
                      <c:pt idx="72">
                        <c:v>40</c:v>
                      </c:pt>
                      <c:pt idx="73">
                        <c:v>43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8-57AE-4000-96E2-DFEC7E1A74FD}"/>
                  </c:ext>
                </c:extLst>
              </c15:ser>
            </c15:filteredScatterSeries>
          </c:ext>
        </c:extLst>
      </c:scatterChart>
      <c:valAx>
        <c:axId val="164244432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sample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087248"/>
        <c:crosses val="autoZero"/>
        <c:crossBetween val="midCat"/>
      </c:valAx>
      <c:valAx>
        <c:axId val="39908724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Blowback</a:t>
                </a:r>
                <a:r>
                  <a:rPr lang="en-US" sz="1800" baseline="0"/>
                  <a:t> Time (ms)</a:t>
                </a:r>
                <a:endParaRPr lang="en-US" sz="1800"/>
              </a:p>
            </c:rich>
          </c:tx>
          <c:layout>
            <c:manualLayout>
              <c:xMode val="edge"/>
              <c:yMode val="edge"/>
              <c:x val="2.950310188499165E-2"/>
              <c:y val="0.395792485398784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44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658180824111185"/>
          <c:y val="0.31115534838495629"/>
          <c:w val="3.0372095876616649E-2"/>
          <c:h val="3.1163653019826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'18g_CO2_Cold_1'!$E$4:$E$1048576</c:f>
              <c:numCache>
                <c:formatCode>General</c:formatCode>
                <c:ptCount val="1048573"/>
                <c:pt idx="0">
                  <c:v>20</c:v>
                </c:pt>
                <c:pt idx="1">
                  <c:v>22</c:v>
                </c:pt>
                <c:pt idx="2">
                  <c:v>21</c:v>
                </c:pt>
                <c:pt idx="3">
                  <c:v>20</c:v>
                </c:pt>
                <c:pt idx="4">
                  <c:v>22</c:v>
                </c:pt>
                <c:pt idx="5">
                  <c:v>20</c:v>
                </c:pt>
                <c:pt idx="6">
                  <c:v>22</c:v>
                </c:pt>
                <c:pt idx="7">
                  <c:v>21</c:v>
                </c:pt>
                <c:pt idx="8">
                  <c:v>22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20</c:v>
                </c:pt>
                <c:pt idx="16">
                  <c:v>22</c:v>
                </c:pt>
                <c:pt idx="17">
                  <c:v>21</c:v>
                </c:pt>
                <c:pt idx="18">
                  <c:v>22</c:v>
                </c:pt>
                <c:pt idx="19">
                  <c:v>22</c:v>
                </c:pt>
                <c:pt idx="20">
                  <c:v>21</c:v>
                </c:pt>
                <c:pt idx="21">
                  <c:v>23</c:v>
                </c:pt>
                <c:pt idx="22">
                  <c:v>21</c:v>
                </c:pt>
                <c:pt idx="23">
                  <c:v>21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  <c:pt idx="27">
                  <c:v>21</c:v>
                </c:pt>
                <c:pt idx="28">
                  <c:v>22</c:v>
                </c:pt>
                <c:pt idx="29">
                  <c:v>22</c:v>
                </c:pt>
                <c:pt idx="30">
                  <c:v>21</c:v>
                </c:pt>
                <c:pt idx="31">
                  <c:v>23</c:v>
                </c:pt>
                <c:pt idx="32">
                  <c:v>22</c:v>
                </c:pt>
                <c:pt idx="33">
                  <c:v>22</c:v>
                </c:pt>
                <c:pt idx="34">
                  <c:v>23</c:v>
                </c:pt>
                <c:pt idx="35">
                  <c:v>22</c:v>
                </c:pt>
                <c:pt idx="36">
                  <c:v>22</c:v>
                </c:pt>
                <c:pt idx="37">
                  <c:v>23</c:v>
                </c:pt>
                <c:pt idx="38">
                  <c:v>23</c:v>
                </c:pt>
                <c:pt idx="39">
                  <c:v>24</c:v>
                </c:pt>
                <c:pt idx="40">
                  <c:v>23</c:v>
                </c:pt>
                <c:pt idx="41">
                  <c:v>23</c:v>
                </c:pt>
                <c:pt idx="42">
                  <c:v>25</c:v>
                </c:pt>
                <c:pt idx="43">
                  <c:v>24</c:v>
                </c:pt>
                <c:pt idx="44">
                  <c:v>25</c:v>
                </c:pt>
                <c:pt idx="45">
                  <c:v>25</c:v>
                </c:pt>
                <c:pt idx="46">
                  <c:v>24</c:v>
                </c:pt>
                <c:pt idx="47">
                  <c:v>25</c:v>
                </c:pt>
                <c:pt idx="48">
                  <c:v>24</c:v>
                </c:pt>
                <c:pt idx="49">
                  <c:v>24</c:v>
                </c:pt>
                <c:pt idx="50">
                  <c:v>25</c:v>
                </c:pt>
                <c:pt idx="51">
                  <c:v>24</c:v>
                </c:pt>
                <c:pt idx="52">
                  <c:v>26</c:v>
                </c:pt>
                <c:pt idx="53">
                  <c:v>26</c:v>
                </c:pt>
                <c:pt idx="54">
                  <c:v>25</c:v>
                </c:pt>
                <c:pt idx="55">
                  <c:v>26</c:v>
                </c:pt>
                <c:pt idx="56">
                  <c:v>25</c:v>
                </c:pt>
                <c:pt idx="57">
                  <c:v>25</c:v>
                </c:pt>
                <c:pt idx="58">
                  <c:v>26</c:v>
                </c:pt>
                <c:pt idx="59">
                  <c:v>25</c:v>
                </c:pt>
                <c:pt idx="60">
                  <c:v>28</c:v>
                </c:pt>
                <c:pt idx="61">
                  <c:v>27</c:v>
                </c:pt>
                <c:pt idx="62">
                  <c:v>27</c:v>
                </c:pt>
                <c:pt idx="63">
                  <c:v>27</c:v>
                </c:pt>
                <c:pt idx="64">
                  <c:v>27</c:v>
                </c:pt>
                <c:pt idx="65">
                  <c:v>26</c:v>
                </c:pt>
                <c:pt idx="66">
                  <c:v>28</c:v>
                </c:pt>
                <c:pt idx="67">
                  <c:v>27</c:v>
                </c:pt>
                <c:pt idx="68">
                  <c:v>26</c:v>
                </c:pt>
                <c:pt idx="69">
                  <c:v>28</c:v>
                </c:pt>
                <c:pt idx="70">
                  <c:v>26</c:v>
                </c:pt>
                <c:pt idx="71">
                  <c:v>28</c:v>
                </c:pt>
                <c:pt idx="72">
                  <c:v>29</c:v>
                </c:pt>
                <c:pt idx="73">
                  <c:v>29</c:v>
                </c:pt>
                <c:pt idx="74">
                  <c:v>29</c:v>
                </c:pt>
                <c:pt idx="75">
                  <c:v>29</c:v>
                </c:pt>
                <c:pt idx="76">
                  <c:v>30</c:v>
                </c:pt>
                <c:pt idx="77">
                  <c:v>31</c:v>
                </c:pt>
                <c:pt idx="78">
                  <c:v>30</c:v>
                </c:pt>
                <c:pt idx="79">
                  <c:v>31</c:v>
                </c:pt>
                <c:pt idx="80">
                  <c:v>31</c:v>
                </c:pt>
                <c:pt idx="81">
                  <c:v>29</c:v>
                </c:pt>
                <c:pt idx="82">
                  <c:v>31</c:v>
                </c:pt>
                <c:pt idx="83">
                  <c:v>32</c:v>
                </c:pt>
                <c:pt idx="84">
                  <c:v>32</c:v>
                </c:pt>
                <c:pt idx="85">
                  <c:v>34</c:v>
                </c:pt>
                <c:pt idx="86">
                  <c:v>35</c:v>
                </c:pt>
                <c:pt idx="87">
                  <c:v>36</c:v>
                </c:pt>
                <c:pt idx="88">
                  <c:v>35</c:v>
                </c:pt>
                <c:pt idx="89">
                  <c:v>36</c:v>
                </c:pt>
                <c:pt idx="90">
                  <c:v>37</c:v>
                </c:pt>
                <c:pt idx="91">
                  <c:v>37</c:v>
                </c:pt>
                <c:pt idx="92">
                  <c:v>38</c:v>
                </c:pt>
                <c:pt idx="93">
                  <c:v>39</c:v>
                </c:pt>
                <c:pt idx="94">
                  <c:v>45</c:v>
                </c:pt>
                <c:pt idx="95">
                  <c:v>43</c:v>
                </c:pt>
                <c:pt idx="96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25-48C8-A322-2C6E9F499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'18g_CO2_Cold_1'!$B$3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'18g_CO2_Cold_1'!$E$3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'18g_CO2_Cold_2'!$E$4:$E$1048576</c:f>
              <c:numCache>
                <c:formatCode>General</c:formatCode>
                <c:ptCount val="1048573"/>
                <c:pt idx="0">
                  <c:v>20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20</c:v>
                </c:pt>
                <c:pt idx="5">
                  <c:v>22</c:v>
                </c:pt>
                <c:pt idx="6">
                  <c:v>22</c:v>
                </c:pt>
                <c:pt idx="7">
                  <c:v>21</c:v>
                </c:pt>
                <c:pt idx="8">
                  <c:v>21</c:v>
                </c:pt>
                <c:pt idx="9">
                  <c:v>20</c:v>
                </c:pt>
                <c:pt idx="10">
                  <c:v>22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22</c:v>
                </c:pt>
                <c:pt idx="16">
                  <c:v>21</c:v>
                </c:pt>
                <c:pt idx="17">
                  <c:v>22</c:v>
                </c:pt>
                <c:pt idx="18">
                  <c:v>22</c:v>
                </c:pt>
                <c:pt idx="19">
                  <c:v>22</c:v>
                </c:pt>
                <c:pt idx="20">
                  <c:v>23</c:v>
                </c:pt>
                <c:pt idx="21">
                  <c:v>21</c:v>
                </c:pt>
                <c:pt idx="22">
                  <c:v>23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21</c:v>
                </c:pt>
                <c:pt idx="27">
                  <c:v>23</c:v>
                </c:pt>
                <c:pt idx="28">
                  <c:v>24</c:v>
                </c:pt>
                <c:pt idx="29">
                  <c:v>23</c:v>
                </c:pt>
                <c:pt idx="30">
                  <c:v>24</c:v>
                </c:pt>
                <c:pt idx="31">
                  <c:v>23</c:v>
                </c:pt>
                <c:pt idx="32">
                  <c:v>23</c:v>
                </c:pt>
                <c:pt idx="33">
                  <c:v>25</c:v>
                </c:pt>
                <c:pt idx="34">
                  <c:v>23</c:v>
                </c:pt>
                <c:pt idx="35">
                  <c:v>23</c:v>
                </c:pt>
                <c:pt idx="36">
                  <c:v>25</c:v>
                </c:pt>
                <c:pt idx="37">
                  <c:v>24</c:v>
                </c:pt>
                <c:pt idx="38">
                  <c:v>25</c:v>
                </c:pt>
                <c:pt idx="39">
                  <c:v>25</c:v>
                </c:pt>
                <c:pt idx="40">
                  <c:v>24</c:v>
                </c:pt>
                <c:pt idx="41">
                  <c:v>25</c:v>
                </c:pt>
                <c:pt idx="43">
                  <c:v>25</c:v>
                </c:pt>
                <c:pt idx="44">
                  <c:v>26</c:v>
                </c:pt>
                <c:pt idx="45">
                  <c:v>24</c:v>
                </c:pt>
                <c:pt idx="46">
                  <c:v>26</c:v>
                </c:pt>
                <c:pt idx="47">
                  <c:v>26</c:v>
                </c:pt>
                <c:pt idx="48">
                  <c:v>25</c:v>
                </c:pt>
                <c:pt idx="49">
                  <c:v>26</c:v>
                </c:pt>
                <c:pt idx="50">
                  <c:v>26</c:v>
                </c:pt>
                <c:pt idx="51">
                  <c:v>25</c:v>
                </c:pt>
                <c:pt idx="52">
                  <c:v>26</c:v>
                </c:pt>
                <c:pt idx="53">
                  <c:v>24</c:v>
                </c:pt>
                <c:pt idx="54">
                  <c:v>26</c:v>
                </c:pt>
                <c:pt idx="55">
                  <c:v>26</c:v>
                </c:pt>
                <c:pt idx="57">
                  <c:v>27</c:v>
                </c:pt>
                <c:pt idx="58">
                  <c:v>27</c:v>
                </c:pt>
                <c:pt idx="59">
                  <c:v>26</c:v>
                </c:pt>
                <c:pt idx="60">
                  <c:v>27</c:v>
                </c:pt>
                <c:pt idx="61">
                  <c:v>26</c:v>
                </c:pt>
                <c:pt idx="62">
                  <c:v>26</c:v>
                </c:pt>
                <c:pt idx="63">
                  <c:v>28</c:v>
                </c:pt>
                <c:pt idx="64">
                  <c:v>28</c:v>
                </c:pt>
                <c:pt idx="65">
                  <c:v>28</c:v>
                </c:pt>
                <c:pt idx="66">
                  <c:v>28</c:v>
                </c:pt>
                <c:pt idx="67">
                  <c:v>27</c:v>
                </c:pt>
                <c:pt idx="68">
                  <c:v>29</c:v>
                </c:pt>
                <c:pt idx="69">
                  <c:v>29</c:v>
                </c:pt>
                <c:pt idx="70">
                  <c:v>28</c:v>
                </c:pt>
                <c:pt idx="71">
                  <c:v>29</c:v>
                </c:pt>
                <c:pt idx="72">
                  <c:v>29</c:v>
                </c:pt>
                <c:pt idx="73">
                  <c:v>31</c:v>
                </c:pt>
                <c:pt idx="74">
                  <c:v>31</c:v>
                </c:pt>
                <c:pt idx="75">
                  <c:v>30</c:v>
                </c:pt>
                <c:pt idx="76">
                  <c:v>32</c:v>
                </c:pt>
                <c:pt idx="77">
                  <c:v>31</c:v>
                </c:pt>
                <c:pt idx="78">
                  <c:v>33</c:v>
                </c:pt>
                <c:pt idx="79">
                  <c:v>33</c:v>
                </c:pt>
                <c:pt idx="80">
                  <c:v>32</c:v>
                </c:pt>
                <c:pt idx="81">
                  <c:v>33</c:v>
                </c:pt>
                <c:pt idx="82">
                  <c:v>33</c:v>
                </c:pt>
                <c:pt idx="83">
                  <c:v>34</c:v>
                </c:pt>
                <c:pt idx="84">
                  <c:v>35</c:v>
                </c:pt>
                <c:pt idx="85">
                  <c:v>36</c:v>
                </c:pt>
                <c:pt idx="86">
                  <c:v>35</c:v>
                </c:pt>
                <c:pt idx="87">
                  <c:v>37</c:v>
                </c:pt>
                <c:pt idx="88">
                  <c:v>38</c:v>
                </c:pt>
                <c:pt idx="89">
                  <c:v>39</c:v>
                </c:pt>
                <c:pt idx="90">
                  <c:v>38</c:v>
                </c:pt>
                <c:pt idx="91">
                  <c:v>42</c:v>
                </c:pt>
                <c:pt idx="92">
                  <c:v>39</c:v>
                </c:pt>
                <c:pt idx="93">
                  <c:v>41</c:v>
                </c:pt>
                <c:pt idx="94">
                  <c:v>48</c:v>
                </c:pt>
                <c:pt idx="95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D4-4DDC-A4A1-7EC80EB57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'18g_CO2_Cold_2'!$B$3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'18g_CO2_Cold_2'!$E$3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'18g_CO2_Cold_3'!$E$4:$E$1048576</c:f>
              <c:numCache>
                <c:formatCode>General</c:formatCode>
                <c:ptCount val="1048573"/>
                <c:pt idx="0">
                  <c:v>22</c:v>
                </c:pt>
                <c:pt idx="1">
                  <c:v>20</c:v>
                </c:pt>
                <c:pt idx="2">
                  <c:v>22</c:v>
                </c:pt>
                <c:pt idx="3">
                  <c:v>21</c:v>
                </c:pt>
                <c:pt idx="4">
                  <c:v>21</c:v>
                </c:pt>
                <c:pt idx="5">
                  <c:v>22</c:v>
                </c:pt>
                <c:pt idx="6">
                  <c:v>23</c:v>
                </c:pt>
                <c:pt idx="7">
                  <c:v>22</c:v>
                </c:pt>
                <c:pt idx="8">
                  <c:v>21</c:v>
                </c:pt>
                <c:pt idx="9">
                  <c:v>22</c:v>
                </c:pt>
                <c:pt idx="10">
                  <c:v>23</c:v>
                </c:pt>
                <c:pt idx="11">
                  <c:v>22</c:v>
                </c:pt>
                <c:pt idx="12">
                  <c:v>22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23</c:v>
                </c:pt>
                <c:pt idx="18">
                  <c:v>21</c:v>
                </c:pt>
                <c:pt idx="19">
                  <c:v>23</c:v>
                </c:pt>
                <c:pt idx="20">
                  <c:v>22</c:v>
                </c:pt>
                <c:pt idx="21">
                  <c:v>22</c:v>
                </c:pt>
                <c:pt idx="22">
                  <c:v>21</c:v>
                </c:pt>
                <c:pt idx="23">
                  <c:v>23</c:v>
                </c:pt>
                <c:pt idx="24">
                  <c:v>23</c:v>
                </c:pt>
                <c:pt idx="25">
                  <c:v>22</c:v>
                </c:pt>
                <c:pt idx="26">
                  <c:v>23</c:v>
                </c:pt>
                <c:pt idx="27">
                  <c:v>22</c:v>
                </c:pt>
                <c:pt idx="28">
                  <c:v>22</c:v>
                </c:pt>
                <c:pt idx="29">
                  <c:v>23</c:v>
                </c:pt>
                <c:pt idx="30">
                  <c:v>22</c:v>
                </c:pt>
                <c:pt idx="31">
                  <c:v>22</c:v>
                </c:pt>
                <c:pt idx="32">
                  <c:v>23</c:v>
                </c:pt>
                <c:pt idx="33">
                  <c:v>23</c:v>
                </c:pt>
                <c:pt idx="34">
                  <c:v>23</c:v>
                </c:pt>
                <c:pt idx="35">
                  <c:v>23</c:v>
                </c:pt>
                <c:pt idx="36">
                  <c:v>23</c:v>
                </c:pt>
                <c:pt idx="37">
                  <c:v>23</c:v>
                </c:pt>
                <c:pt idx="38">
                  <c:v>23</c:v>
                </c:pt>
                <c:pt idx="39">
                  <c:v>23</c:v>
                </c:pt>
                <c:pt idx="40">
                  <c:v>24</c:v>
                </c:pt>
                <c:pt idx="41">
                  <c:v>23</c:v>
                </c:pt>
                <c:pt idx="42">
                  <c:v>24</c:v>
                </c:pt>
                <c:pt idx="43">
                  <c:v>24</c:v>
                </c:pt>
                <c:pt idx="44">
                  <c:v>24</c:v>
                </c:pt>
                <c:pt idx="45">
                  <c:v>25</c:v>
                </c:pt>
                <c:pt idx="46">
                  <c:v>25</c:v>
                </c:pt>
                <c:pt idx="47">
                  <c:v>24</c:v>
                </c:pt>
                <c:pt idx="48">
                  <c:v>25</c:v>
                </c:pt>
                <c:pt idx="49">
                  <c:v>23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26</c:v>
                </c:pt>
                <c:pt idx="54">
                  <c:v>26</c:v>
                </c:pt>
                <c:pt idx="56">
                  <c:v>26</c:v>
                </c:pt>
                <c:pt idx="57">
                  <c:v>25</c:v>
                </c:pt>
                <c:pt idx="59">
                  <c:v>27</c:v>
                </c:pt>
                <c:pt idx="60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28</c:v>
                </c:pt>
                <c:pt idx="66">
                  <c:v>28</c:v>
                </c:pt>
                <c:pt idx="68">
                  <c:v>27</c:v>
                </c:pt>
                <c:pt idx="69">
                  <c:v>28</c:v>
                </c:pt>
                <c:pt idx="70">
                  <c:v>27</c:v>
                </c:pt>
                <c:pt idx="71">
                  <c:v>27</c:v>
                </c:pt>
                <c:pt idx="72">
                  <c:v>29</c:v>
                </c:pt>
                <c:pt idx="73">
                  <c:v>28</c:v>
                </c:pt>
                <c:pt idx="74">
                  <c:v>29</c:v>
                </c:pt>
                <c:pt idx="75">
                  <c:v>29</c:v>
                </c:pt>
                <c:pt idx="76">
                  <c:v>29</c:v>
                </c:pt>
                <c:pt idx="77">
                  <c:v>30</c:v>
                </c:pt>
                <c:pt idx="78">
                  <c:v>29</c:v>
                </c:pt>
                <c:pt idx="79">
                  <c:v>31</c:v>
                </c:pt>
                <c:pt idx="80">
                  <c:v>29</c:v>
                </c:pt>
                <c:pt idx="81">
                  <c:v>30</c:v>
                </c:pt>
                <c:pt idx="82">
                  <c:v>32</c:v>
                </c:pt>
                <c:pt idx="83">
                  <c:v>31</c:v>
                </c:pt>
                <c:pt idx="84">
                  <c:v>32</c:v>
                </c:pt>
                <c:pt idx="85">
                  <c:v>32</c:v>
                </c:pt>
                <c:pt idx="86">
                  <c:v>33</c:v>
                </c:pt>
                <c:pt idx="87">
                  <c:v>32</c:v>
                </c:pt>
                <c:pt idx="88">
                  <c:v>35</c:v>
                </c:pt>
                <c:pt idx="89">
                  <c:v>34</c:v>
                </c:pt>
                <c:pt idx="90">
                  <c:v>35</c:v>
                </c:pt>
                <c:pt idx="91">
                  <c:v>35</c:v>
                </c:pt>
                <c:pt idx="92">
                  <c:v>36</c:v>
                </c:pt>
                <c:pt idx="93">
                  <c:v>36</c:v>
                </c:pt>
                <c:pt idx="94">
                  <c:v>36</c:v>
                </c:pt>
                <c:pt idx="95">
                  <c:v>37</c:v>
                </c:pt>
                <c:pt idx="96">
                  <c:v>39</c:v>
                </c:pt>
                <c:pt idx="97">
                  <c:v>37</c:v>
                </c:pt>
                <c:pt idx="98">
                  <c:v>40</c:v>
                </c:pt>
                <c:pt idx="99">
                  <c:v>42</c:v>
                </c:pt>
                <c:pt idx="100">
                  <c:v>39</c:v>
                </c:pt>
                <c:pt idx="102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77-42A3-AF4D-1B084DC9C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'18g_CO2_Cold_3'!$B$3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'18g_CO2_Cold_3'!$E$3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- Comparing 12 or 18 grams of CO2 in different Temps</a:t>
            </a:r>
            <a:endParaRPr lang="en-US" sz="2400"/>
          </a:p>
        </c:rich>
      </c:tx>
      <c:layout>
        <c:manualLayout>
          <c:xMode val="edge"/>
          <c:yMode val="edge"/>
          <c:x val="1.2340304052902477E-2"/>
          <c:y val="1.60160160160160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966492824760532E-2"/>
          <c:y val="0.18636636636636636"/>
          <c:w val="0.73557571469353711"/>
          <c:h val="0.72473812395072257"/>
        </c:manualLayout>
      </c:layout>
      <c:scatterChart>
        <c:scatterStyle val="lineMarker"/>
        <c:varyColors val="0"/>
        <c:ser>
          <c:idx val="3"/>
          <c:order val="3"/>
          <c:tx>
            <c:v>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'18g_CO2_AVG''s'!$G$5:$G$100</c:f>
              <c:numCache>
                <c:formatCode>General</c:formatCode>
                <c:ptCount val="96"/>
                <c:pt idx="0">
                  <c:v>20.666666666666668</c:v>
                </c:pt>
                <c:pt idx="1">
                  <c:v>21</c:v>
                </c:pt>
                <c:pt idx="2">
                  <c:v>21.333333333333332</c:v>
                </c:pt>
                <c:pt idx="3">
                  <c:v>20.666666666666668</c:v>
                </c:pt>
                <c:pt idx="4">
                  <c:v>21</c:v>
                </c:pt>
                <c:pt idx="5">
                  <c:v>21.333333333333332</c:v>
                </c:pt>
                <c:pt idx="6">
                  <c:v>22.333333333333332</c:v>
                </c:pt>
                <c:pt idx="7">
                  <c:v>21.333333333333332</c:v>
                </c:pt>
                <c:pt idx="8">
                  <c:v>21.333333333333332</c:v>
                </c:pt>
                <c:pt idx="9">
                  <c:v>20.666666666666668</c:v>
                </c:pt>
                <c:pt idx="10">
                  <c:v>22</c:v>
                </c:pt>
                <c:pt idx="11">
                  <c:v>21.666666666666668</c:v>
                </c:pt>
                <c:pt idx="12">
                  <c:v>21.333333333333332</c:v>
                </c:pt>
                <c:pt idx="13">
                  <c:v>22.5</c:v>
                </c:pt>
                <c:pt idx="14">
                  <c:v>21.666666666666668</c:v>
                </c:pt>
                <c:pt idx="15">
                  <c:v>20.5</c:v>
                </c:pt>
                <c:pt idx="16">
                  <c:v>21.333333333333332</c:v>
                </c:pt>
                <c:pt idx="17">
                  <c:v>22</c:v>
                </c:pt>
                <c:pt idx="18">
                  <c:v>21.666666666666668</c:v>
                </c:pt>
                <c:pt idx="19">
                  <c:v>22.333333333333332</c:v>
                </c:pt>
                <c:pt idx="20">
                  <c:v>22</c:v>
                </c:pt>
                <c:pt idx="21">
                  <c:v>22</c:v>
                </c:pt>
                <c:pt idx="22">
                  <c:v>21.666666666666668</c:v>
                </c:pt>
                <c:pt idx="23">
                  <c:v>22</c:v>
                </c:pt>
                <c:pt idx="24">
                  <c:v>22.333333333333332</c:v>
                </c:pt>
                <c:pt idx="25">
                  <c:v>22</c:v>
                </c:pt>
                <c:pt idx="26">
                  <c:v>22</c:v>
                </c:pt>
                <c:pt idx="27">
                  <c:v>22</c:v>
                </c:pt>
                <c:pt idx="28">
                  <c:v>22.666666666666668</c:v>
                </c:pt>
                <c:pt idx="29">
                  <c:v>22.666666666666668</c:v>
                </c:pt>
                <c:pt idx="30">
                  <c:v>22.333333333333332</c:v>
                </c:pt>
                <c:pt idx="31">
                  <c:v>22.666666666666668</c:v>
                </c:pt>
                <c:pt idx="32">
                  <c:v>22.666666666666668</c:v>
                </c:pt>
                <c:pt idx="33">
                  <c:v>23.333333333333332</c:v>
                </c:pt>
                <c:pt idx="34">
                  <c:v>23</c:v>
                </c:pt>
                <c:pt idx="35">
                  <c:v>22.666666666666668</c:v>
                </c:pt>
                <c:pt idx="36">
                  <c:v>23.333333333333332</c:v>
                </c:pt>
                <c:pt idx="37">
                  <c:v>23.333333333333332</c:v>
                </c:pt>
                <c:pt idx="38">
                  <c:v>23.666666666666668</c:v>
                </c:pt>
                <c:pt idx="39">
                  <c:v>24</c:v>
                </c:pt>
                <c:pt idx="40">
                  <c:v>23.666666666666668</c:v>
                </c:pt>
                <c:pt idx="41">
                  <c:v>23.666666666666668</c:v>
                </c:pt>
                <c:pt idx="42">
                  <c:v>24.5</c:v>
                </c:pt>
                <c:pt idx="43">
                  <c:v>24.333333333333332</c:v>
                </c:pt>
                <c:pt idx="44">
                  <c:v>25</c:v>
                </c:pt>
                <c:pt idx="45">
                  <c:v>24.666666666666668</c:v>
                </c:pt>
                <c:pt idx="46">
                  <c:v>25</c:v>
                </c:pt>
                <c:pt idx="47">
                  <c:v>25</c:v>
                </c:pt>
                <c:pt idx="48">
                  <c:v>24.666666666666668</c:v>
                </c:pt>
                <c:pt idx="49">
                  <c:v>24.333333333333332</c:v>
                </c:pt>
                <c:pt idx="50">
                  <c:v>25.333333333333332</c:v>
                </c:pt>
                <c:pt idx="51">
                  <c:v>24.666666666666668</c:v>
                </c:pt>
                <c:pt idx="52">
                  <c:v>25.666666666666668</c:v>
                </c:pt>
                <c:pt idx="53">
                  <c:v>25.333333333333332</c:v>
                </c:pt>
                <c:pt idx="54">
                  <c:v>25.666666666666668</c:v>
                </c:pt>
                <c:pt idx="55">
                  <c:v>26</c:v>
                </c:pt>
                <c:pt idx="56">
                  <c:v>25.5</c:v>
                </c:pt>
                <c:pt idx="57">
                  <c:v>25.666666666666668</c:v>
                </c:pt>
                <c:pt idx="58">
                  <c:v>26.5</c:v>
                </c:pt>
                <c:pt idx="59">
                  <c:v>26</c:v>
                </c:pt>
                <c:pt idx="60">
                  <c:v>27</c:v>
                </c:pt>
                <c:pt idx="61">
                  <c:v>26.5</c:v>
                </c:pt>
                <c:pt idx="62">
                  <c:v>26.333333333333332</c:v>
                </c:pt>
                <c:pt idx="63">
                  <c:v>27</c:v>
                </c:pt>
                <c:pt idx="64">
                  <c:v>27</c:v>
                </c:pt>
                <c:pt idx="65">
                  <c:v>27.333333333333332</c:v>
                </c:pt>
                <c:pt idx="66">
                  <c:v>28</c:v>
                </c:pt>
                <c:pt idx="67">
                  <c:v>27</c:v>
                </c:pt>
                <c:pt idx="68">
                  <c:v>27.333333333333332</c:v>
                </c:pt>
                <c:pt idx="69">
                  <c:v>28.333333333333332</c:v>
                </c:pt>
                <c:pt idx="70">
                  <c:v>27</c:v>
                </c:pt>
                <c:pt idx="71">
                  <c:v>28</c:v>
                </c:pt>
                <c:pt idx="72">
                  <c:v>29</c:v>
                </c:pt>
                <c:pt idx="73">
                  <c:v>29.333333333333332</c:v>
                </c:pt>
                <c:pt idx="74">
                  <c:v>29.666666666666668</c:v>
                </c:pt>
                <c:pt idx="75">
                  <c:v>29.333333333333332</c:v>
                </c:pt>
                <c:pt idx="76">
                  <c:v>30.333333333333332</c:v>
                </c:pt>
                <c:pt idx="77">
                  <c:v>30.666666666666668</c:v>
                </c:pt>
                <c:pt idx="78">
                  <c:v>30.666666666666668</c:v>
                </c:pt>
                <c:pt idx="79">
                  <c:v>31.666666666666668</c:v>
                </c:pt>
                <c:pt idx="80">
                  <c:v>30.666666666666668</c:v>
                </c:pt>
                <c:pt idx="81">
                  <c:v>30.666666666666668</c:v>
                </c:pt>
                <c:pt idx="82">
                  <c:v>32</c:v>
                </c:pt>
                <c:pt idx="83">
                  <c:v>32.333333333333336</c:v>
                </c:pt>
                <c:pt idx="84">
                  <c:v>33</c:v>
                </c:pt>
                <c:pt idx="85">
                  <c:v>34</c:v>
                </c:pt>
                <c:pt idx="86">
                  <c:v>34.333333333333336</c:v>
                </c:pt>
                <c:pt idx="87">
                  <c:v>35</c:v>
                </c:pt>
                <c:pt idx="88">
                  <c:v>36</c:v>
                </c:pt>
                <c:pt idx="89">
                  <c:v>36.333333333333336</c:v>
                </c:pt>
                <c:pt idx="90">
                  <c:v>36.666666666666664</c:v>
                </c:pt>
                <c:pt idx="91">
                  <c:v>38</c:v>
                </c:pt>
                <c:pt idx="92">
                  <c:v>37.666666666666664</c:v>
                </c:pt>
                <c:pt idx="93">
                  <c:v>38.666666666666664</c:v>
                </c:pt>
                <c:pt idx="94">
                  <c:v>43</c:v>
                </c:pt>
                <c:pt idx="95">
                  <c:v>40.666666666666664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DD-48D3-B96A-14159AD90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44432"/>
        <c:axId val="39908724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1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yVal>
                  <c:numRef>
                    <c:extLst>
                      <c:ext uri="{02D57815-91ED-43cb-92C2-25804820EDAC}">
                        <c15:formulaRef>
                          <c15:sqref>'12g_CO2_Cold_1'!$E$4:$E$80</c15:sqref>
                        </c15:formulaRef>
                      </c:ext>
                    </c:extLst>
                    <c:numCache>
                      <c:formatCode>General</c:formatCode>
                      <c:ptCount val="77"/>
                      <c:pt idx="0">
                        <c:v>20</c:v>
                      </c:pt>
                      <c:pt idx="1">
                        <c:v>20</c:v>
                      </c:pt>
                      <c:pt idx="2">
                        <c:v>22</c:v>
                      </c:pt>
                      <c:pt idx="3">
                        <c:v>20</c:v>
                      </c:pt>
                      <c:pt idx="4">
                        <c:v>22</c:v>
                      </c:pt>
                      <c:pt idx="5">
                        <c:v>21</c:v>
                      </c:pt>
                      <c:pt idx="6">
                        <c:v>20</c:v>
                      </c:pt>
                      <c:pt idx="7">
                        <c:v>21</c:v>
                      </c:pt>
                      <c:pt idx="8">
                        <c:v>21</c:v>
                      </c:pt>
                      <c:pt idx="9">
                        <c:v>22</c:v>
                      </c:pt>
                      <c:pt idx="10">
                        <c:v>22</c:v>
                      </c:pt>
                      <c:pt idx="11">
                        <c:v>22</c:v>
                      </c:pt>
                      <c:pt idx="12">
                        <c:v>22</c:v>
                      </c:pt>
                      <c:pt idx="13">
                        <c:v>21</c:v>
                      </c:pt>
                      <c:pt idx="14">
                        <c:v>22</c:v>
                      </c:pt>
                      <c:pt idx="15">
                        <c:v>22</c:v>
                      </c:pt>
                      <c:pt idx="16">
                        <c:v>22</c:v>
                      </c:pt>
                      <c:pt idx="17">
                        <c:v>23</c:v>
                      </c:pt>
                      <c:pt idx="19">
                        <c:v>23</c:v>
                      </c:pt>
                      <c:pt idx="20">
                        <c:v>24</c:v>
                      </c:pt>
                      <c:pt idx="22">
                        <c:v>23</c:v>
                      </c:pt>
                      <c:pt idx="23">
                        <c:v>23</c:v>
                      </c:pt>
                      <c:pt idx="24">
                        <c:v>23</c:v>
                      </c:pt>
                      <c:pt idx="26">
                        <c:v>23</c:v>
                      </c:pt>
                      <c:pt idx="27">
                        <c:v>24</c:v>
                      </c:pt>
                      <c:pt idx="28">
                        <c:v>24</c:v>
                      </c:pt>
                      <c:pt idx="29">
                        <c:v>24</c:v>
                      </c:pt>
                      <c:pt idx="30">
                        <c:v>23</c:v>
                      </c:pt>
                      <c:pt idx="31">
                        <c:v>25</c:v>
                      </c:pt>
                      <c:pt idx="32">
                        <c:v>24</c:v>
                      </c:pt>
                      <c:pt idx="33">
                        <c:v>24</c:v>
                      </c:pt>
                      <c:pt idx="34">
                        <c:v>24</c:v>
                      </c:pt>
                      <c:pt idx="35">
                        <c:v>24</c:v>
                      </c:pt>
                      <c:pt idx="36">
                        <c:v>24</c:v>
                      </c:pt>
                      <c:pt idx="37">
                        <c:v>26</c:v>
                      </c:pt>
                      <c:pt idx="38">
                        <c:v>25</c:v>
                      </c:pt>
                      <c:pt idx="39">
                        <c:v>26</c:v>
                      </c:pt>
                      <c:pt idx="40">
                        <c:v>25</c:v>
                      </c:pt>
                      <c:pt idx="41">
                        <c:v>25</c:v>
                      </c:pt>
                      <c:pt idx="42">
                        <c:v>26</c:v>
                      </c:pt>
                      <c:pt idx="43">
                        <c:v>24</c:v>
                      </c:pt>
                      <c:pt idx="44">
                        <c:v>24</c:v>
                      </c:pt>
                      <c:pt idx="45">
                        <c:v>26</c:v>
                      </c:pt>
                      <c:pt idx="46">
                        <c:v>25</c:v>
                      </c:pt>
                      <c:pt idx="47">
                        <c:v>27</c:v>
                      </c:pt>
                      <c:pt idx="48">
                        <c:v>27</c:v>
                      </c:pt>
                      <c:pt idx="49">
                        <c:v>26</c:v>
                      </c:pt>
                      <c:pt idx="50">
                        <c:v>26</c:v>
                      </c:pt>
                      <c:pt idx="51">
                        <c:v>27</c:v>
                      </c:pt>
                      <c:pt idx="52">
                        <c:v>27</c:v>
                      </c:pt>
                      <c:pt idx="53">
                        <c:v>28</c:v>
                      </c:pt>
                      <c:pt idx="54">
                        <c:v>26</c:v>
                      </c:pt>
                      <c:pt idx="55">
                        <c:v>29</c:v>
                      </c:pt>
                      <c:pt idx="56">
                        <c:v>28</c:v>
                      </c:pt>
                      <c:pt idx="57">
                        <c:v>27</c:v>
                      </c:pt>
                      <c:pt idx="58">
                        <c:v>29</c:v>
                      </c:pt>
                      <c:pt idx="59">
                        <c:v>27</c:v>
                      </c:pt>
                      <c:pt idx="60">
                        <c:v>30</c:v>
                      </c:pt>
                      <c:pt idx="61">
                        <c:v>30</c:v>
                      </c:pt>
                      <c:pt idx="62">
                        <c:v>29</c:v>
                      </c:pt>
                      <c:pt idx="63">
                        <c:v>31</c:v>
                      </c:pt>
                      <c:pt idx="64">
                        <c:v>31</c:v>
                      </c:pt>
                      <c:pt idx="65">
                        <c:v>31</c:v>
                      </c:pt>
                      <c:pt idx="66">
                        <c:v>32</c:v>
                      </c:pt>
                      <c:pt idx="67">
                        <c:v>30</c:v>
                      </c:pt>
                      <c:pt idx="68">
                        <c:v>33</c:v>
                      </c:pt>
                      <c:pt idx="69">
                        <c:v>34</c:v>
                      </c:pt>
                      <c:pt idx="70">
                        <c:v>35</c:v>
                      </c:pt>
                      <c:pt idx="71">
                        <c:v>36</c:v>
                      </c:pt>
                      <c:pt idx="72">
                        <c:v>36</c:v>
                      </c:pt>
                      <c:pt idx="73">
                        <c:v>39</c:v>
                      </c:pt>
                      <c:pt idx="74">
                        <c:v>39</c:v>
                      </c:pt>
                      <c:pt idx="75">
                        <c:v>43</c:v>
                      </c:pt>
                      <c:pt idx="76">
                        <c:v>45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A0DD-48D3-B96A-14159AD90735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v>2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'12g_CO2_Cold_2'!$E$4:$E$80</c15:sqref>
                        </c15:formulaRef>
                      </c:ext>
                    </c:extLst>
                    <c:numCache>
                      <c:formatCode>General</c:formatCode>
                      <c:ptCount val="77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20</c:v>
                      </c:pt>
                      <c:pt idx="3">
                        <c:v>20</c:v>
                      </c:pt>
                      <c:pt idx="4">
                        <c:v>22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22</c:v>
                      </c:pt>
                      <c:pt idx="8">
                        <c:v>21</c:v>
                      </c:pt>
                      <c:pt idx="9">
                        <c:v>22</c:v>
                      </c:pt>
                      <c:pt idx="10">
                        <c:v>22</c:v>
                      </c:pt>
                      <c:pt idx="11">
                        <c:v>22</c:v>
                      </c:pt>
                      <c:pt idx="12">
                        <c:v>21</c:v>
                      </c:pt>
                      <c:pt idx="13">
                        <c:v>23</c:v>
                      </c:pt>
                      <c:pt idx="14">
                        <c:v>22</c:v>
                      </c:pt>
                      <c:pt idx="15">
                        <c:v>22</c:v>
                      </c:pt>
                      <c:pt idx="17">
                        <c:v>23</c:v>
                      </c:pt>
                      <c:pt idx="18">
                        <c:v>23</c:v>
                      </c:pt>
                      <c:pt idx="19">
                        <c:v>22</c:v>
                      </c:pt>
                      <c:pt idx="20">
                        <c:v>23</c:v>
                      </c:pt>
                      <c:pt idx="21">
                        <c:v>24</c:v>
                      </c:pt>
                      <c:pt idx="22">
                        <c:v>24</c:v>
                      </c:pt>
                      <c:pt idx="23">
                        <c:v>23</c:v>
                      </c:pt>
                      <c:pt idx="24">
                        <c:v>23</c:v>
                      </c:pt>
                      <c:pt idx="25">
                        <c:v>24</c:v>
                      </c:pt>
                      <c:pt idx="26">
                        <c:v>24</c:v>
                      </c:pt>
                      <c:pt idx="27">
                        <c:v>24</c:v>
                      </c:pt>
                      <c:pt idx="28">
                        <c:v>24</c:v>
                      </c:pt>
                      <c:pt idx="29">
                        <c:v>24</c:v>
                      </c:pt>
                      <c:pt idx="30">
                        <c:v>25</c:v>
                      </c:pt>
                      <c:pt idx="31">
                        <c:v>25</c:v>
                      </c:pt>
                      <c:pt idx="32">
                        <c:v>24</c:v>
                      </c:pt>
                      <c:pt idx="34">
                        <c:v>26</c:v>
                      </c:pt>
                      <c:pt idx="35">
                        <c:v>25</c:v>
                      </c:pt>
                      <c:pt idx="36">
                        <c:v>27</c:v>
                      </c:pt>
                      <c:pt idx="37">
                        <c:v>25</c:v>
                      </c:pt>
                      <c:pt idx="38">
                        <c:v>24</c:v>
                      </c:pt>
                      <c:pt idx="39">
                        <c:v>26</c:v>
                      </c:pt>
                      <c:pt idx="40">
                        <c:v>26</c:v>
                      </c:pt>
                      <c:pt idx="41">
                        <c:v>25</c:v>
                      </c:pt>
                      <c:pt idx="42">
                        <c:v>26</c:v>
                      </c:pt>
                      <c:pt idx="45">
                        <c:v>25</c:v>
                      </c:pt>
                      <c:pt idx="46">
                        <c:v>26</c:v>
                      </c:pt>
                      <c:pt idx="47">
                        <c:v>26</c:v>
                      </c:pt>
                      <c:pt idx="48">
                        <c:v>26</c:v>
                      </c:pt>
                      <c:pt idx="50">
                        <c:v>28</c:v>
                      </c:pt>
                      <c:pt idx="51">
                        <c:v>27</c:v>
                      </c:pt>
                      <c:pt idx="53">
                        <c:v>26</c:v>
                      </c:pt>
                      <c:pt idx="54">
                        <c:v>28</c:v>
                      </c:pt>
                      <c:pt idx="55">
                        <c:v>27</c:v>
                      </c:pt>
                      <c:pt idx="56">
                        <c:v>27</c:v>
                      </c:pt>
                      <c:pt idx="58">
                        <c:v>30</c:v>
                      </c:pt>
                      <c:pt idx="59">
                        <c:v>30</c:v>
                      </c:pt>
                      <c:pt idx="60">
                        <c:v>30</c:v>
                      </c:pt>
                      <c:pt idx="61">
                        <c:v>30</c:v>
                      </c:pt>
                      <c:pt idx="62">
                        <c:v>31</c:v>
                      </c:pt>
                      <c:pt idx="63">
                        <c:v>32</c:v>
                      </c:pt>
                      <c:pt idx="64">
                        <c:v>32</c:v>
                      </c:pt>
                      <c:pt idx="65">
                        <c:v>33</c:v>
                      </c:pt>
                      <c:pt idx="66">
                        <c:v>33</c:v>
                      </c:pt>
                      <c:pt idx="67">
                        <c:v>34</c:v>
                      </c:pt>
                      <c:pt idx="68">
                        <c:v>37</c:v>
                      </c:pt>
                      <c:pt idx="69">
                        <c:v>37</c:v>
                      </c:pt>
                      <c:pt idx="70">
                        <c:v>38</c:v>
                      </c:pt>
                      <c:pt idx="71">
                        <c:v>38</c:v>
                      </c:pt>
                      <c:pt idx="72">
                        <c:v>40</c:v>
                      </c:pt>
                      <c:pt idx="73">
                        <c:v>37</c:v>
                      </c:pt>
                      <c:pt idx="74">
                        <c:v>39</c:v>
                      </c:pt>
                      <c:pt idx="75">
                        <c:v>43</c:v>
                      </c:pt>
                      <c:pt idx="76">
                        <c:v>43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0DD-48D3-B96A-14159AD9073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v>3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'12g_CO2_Cold_3'!$E$4:$E$77</c15:sqref>
                        </c15:formulaRef>
                      </c:ext>
                    </c:extLst>
                    <c:numCache>
                      <c:formatCode>General</c:formatCode>
                      <c:ptCount val="74"/>
                      <c:pt idx="0">
                        <c:v>19</c:v>
                      </c:pt>
                      <c:pt idx="1">
                        <c:v>20</c:v>
                      </c:pt>
                      <c:pt idx="2">
                        <c:v>19</c:v>
                      </c:pt>
                      <c:pt idx="3">
                        <c:v>21</c:v>
                      </c:pt>
                      <c:pt idx="5">
                        <c:v>21</c:v>
                      </c:pt>
                      <c:pt idx="6">
                        <c:v>21</c:v>
                      </c:pt>
                      <c:pt idx="7">
                        <c:v>20</c:v>
                      </c:pt>
                      <c:pt idx="8">
                        <c:v>21</c:v>
                      </c:pt>
                      <c:pt idx="9">
                        <c:v>20</c:v>
                      </c:pt>
                      <c:pt idx="10">
                        <c:v>21</c:v>
                      </c:pt>
                      <c:pt idx="11">
                        <c:v>20</c:v>
                      </c:pt>
                      <c:pt idx="12">
                        <c:v>22</c:v>
                      </c:pt>
                      <c:pt idx="13">
                        <c:v>22</c:v>
                      </c:pt>
                      <c:pt idx="14">
                        <c:v>21</c:v>
                      </c:pt>
                      <c:pt idx="15">
                        <c:v>22</c:v>
                      </c:pt>
                      <c:pt idx="17">
                        <c:v>22</c:v>
                      </c:pt>
                      <c:pt idx="18">
                        <c:v>22</c:v>
                      </c:pt>
                      <c:pt idx="19">
                        <c:v>21</c:v>
                      </c:pt>
                      <c:pt idx="20">
                        <c:v>22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21</c:v>
                      </c:pt>
                      <c:pt idx="25">
                        <c:v>23</c:v>
                      </c:pt>
                      <c:pt idx="26">
                        <c:v>23</c:v>
                      </c:pt>
                      <c:pt idx="27">
                        <c:v>22</c:v>
                      </c:pt>
                      <c:pt idx="28">
                        <c:v>24</c:v>
                      </c:pt>
                      <c:pt idx="29">
                        <c:v>22</c:v>
                      </c:pt>
                      <c:pt idx="30">
                        <c:v>23</c:v>
                      </c:pt>
                      <c:pt idx="31">
                        <c:v>23</c:v>
                      </c:pt>
                      <c:pt idx="33">
                        <c:v>23</c:v>
                      </c:pt>
                      <c:pt idx="34">
                        <c:v>24</c:v>
                      </c:pt>
                      <c:pt idx="35">
                        <c:v>24</c:v>
                      </c:pt>
                      <c:pt idx="36">
                        <c:v>25</c:v>
                      </c:pt>
                      <c:pt idx="37">
                        <c:v>25</c:v>
                      </c:pt>
                      <c:pt idx="38">
                        <c:v>25</c:v>
                      </c:pt>
                      <c:pt idx="39">
                        <c:v>25</c:v>
                      </c:pt>
                      <c:pt idx="40">
                        <c:v>24</c:v>
                      </c:pt>
                      <c:pt idx="41">
                        <c:v>24</c:v>
                      </c:pt>
                      <c:pt idx="42">
                        <c:v>24</c:v>
                      </c:pt>
                      <c:pt idx="43">
                        <c:v>26</c:v>
                      </c:pt>
                      <c:pt idx="44">
                        <c:v>26</c:v>
                      </c:pt>
                      <c:pt idx="47">
                        <c:v>26</c:v>
                      </c:pt>
                      <c:pt idx="48">
                        <c:v>27</c:v>
                      </c:pt>
                      <c:pt idx="50">
                        <c:v>27</c:v>
                      </c:pt>
                      <c:pt idx="52">
                        <c:v>29</c:v>
                      </c:pt>
                      <c:pt idx="53">
                        <c:v>28</c:v>
                      </c:pt>
                      <c:pt idx="54">
                        <c:v>30</c:v>
                      </c:pt>
                      <c:pt idx="55">
                        <c:v>30</c:v>
                      </c:pt>
                      <c:pt idx="56">
                        <c:v>30</c:v>
                      </c:pt>
                      <c:pt idx="57">
                        <c:v>31</c:v>
                      </c:pt>
                      <c:pt idx="58">
                        <c:v>31</c:v>
                      </c:pt>
                      <c:pt idx="59">
                        <c:v>32</c:v>
                      </c:pt>
                      <c:pt idx="60">
                        <c:v>32</c:v>
                      </c:pt>
                      <c:pt idx="61">
                        <c:v>33</c:v>
                      </c:pt>
                      <c:pt idx="62">
                        <c:v>33</c:v>
                      </c:pt>
                      <c:pt idx="63">
                        <c:v>35</c:v>
                      </c:pt>
                      <c:pt idx="64">
                        <c:v>35</c:v>
                      </c:pt>
                      <c:pt idx="65">
                        <c:v>35</c:v>
                      </c:pt>
                      <c:pt idx="66">
                        <c:v>37</c:v>
                      </c:pt>
                      <c:pt idx="67">
                        <c:v>39</c:v>
                      </c:pt>
                      <c:pt idx="68">
                        <c:v>37</c:v>
                      </c:pt>
                      <c:pt idx="69">
                        <c:v>41</c:v>
                      </c:pt>
                      <c:pt idx="70">
                        <c:v>38</c:v>
                      </c:pt>
                      <c:pt idx="71">
                        <c:v>38</c:v>
                      </c:pt>
                      <c:pt idx="72">
                        <c:v>40</c:v>
                      </c:pt>
                      <c:pt idx="73">
                        <c:v>43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0DD-48D3-B96A-14159AD90735}"/>
                  </c:ext>
                </c:extLst>
              </c15:ser>
            </c15:filteredScatterSeries>
          </c:ext>
        </c:extLst>
      </c:scatterChart>
      <c:valAx>
        <c:axId val="164244432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Sample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087248"/>
        <c:crosses val="autoZero"/>
        <c:crossBetween val="midCat"/>
      </c:valAx>
      <c:valAx>
        <c:axId val="39908724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Blowback</a:t>
                </a:r>
                <a:r>
                  <a:rPr lang="en-US" sz="1800" baseline="0"/>
                  <a:t> Time (ms)</a:t>
                </a:r>
                <a:endParaRPr lang="en-US" sz="1800"/>
              </a:p>
            </c:rich>
          </c:tx>
          <c:layout>
            <c:manualLayout>
              <c:xMode val="edge"/>
              <c:yMode val="edge"/>
              <c:x val="2.950310188499165E-2"/>
              <c:y val="0.395792485398784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44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658180824111185"/>
          <c:y val="0.31115534838495629"/>
          <c:w val="3.0372095876616649E-2"/>
          <c:h val="3.12068758395491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'12g_Propane_Cold_1'!$E$4:$E$1048576</c:f>
              <c:numCache>
                <c:formatCode>General</c:formatCode>
                <c:ptCount val="1048573"/>
                <c:pt idx="0">
                  <c:v>29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5">
                  <c:v>30</c:v>
                </c:pt>
                <c:pt idx="6">
                  <c:v>31</c:v>
                </c:pt>
                <c:pt idx="7">
                  <c:v>30</c:v>
                </c:pt>
                <c:pt idx="9">
                  <c:v>30</c:v>
                </c:pt>
                <c:pt idx="10">
                  <c:v>32</c:v>
                </c:pt>
                <c:pt idx="11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33</c:v>
                </c:pt>
                <c:pt idx="18">
                  <c:v>34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34</c:v>
                </c:pt>
                <c:pt idx="23">
                  <c:v>36</c:v>
                </c:pt>
                <c:pt idx="24">
                  <c:v>36</c:v>
                </c:pt>
                <c:pt idx="25">
                  <c:v>37</c:v>
                </c:pt>
                <c:pt idx="26">
                  <c:v>37</c:v>
                </c:pt>
                <c:pt idx="27">
                  <c:v>38</c:v>
                </c:pt>
                <c:pt idx="28">
                  <c:v>38</c:v>
                </c:pt>
                <c:pt idx="29">
                  <c:v>39</c:v>
                </c:pt>
                <c:pt idx="30">
                  <c:v>41</c:v>
                </c:pt>
                <c:pt idx="31">
                  <c:v>41</c:v>
                </c:pt>
                <c:pt idx="32">
                  <c:v>41</c:v>
                </c:pt>
                <c:pt idx="33">
                  <c:v>43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7C-40C4-8C4D-00C79FC2F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'12g_Propane_Cold_1'!$B$3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'12g_Propane_Cold_1'!$E$3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'12g_Propane_Cold_2'!$E$4:$E$1048576</c:f>
              <c:numCache>
                <c:formatCode>General</c:formatCode>
                <c:ptCount val="1048573"/>
                <c:pt idx="0">
                  <c:v>27</c:v>
                </c:pt>
                <c:pt idx="1">
                  <c:v>0</c:v>
                </c:pt>
                <c:pt idx="2">
                  <c:v>29</c:v>
                </c:pt>
                <c:pt idx="3">
                  <c:v>28</c:v>
                </c:pt>
                <c:pt idx="4">
                  <c:v>29</c:v>
                </c:pt>
                <c:pt idx="5">
                  <c:v>28</c:v>
                </c:pt>
                <c:pt idx="6">
                  <c:v>29</c:v>
                </c:pt>
                <c:pt idx="7">
                  <c:v>29</c:v>
                </c:pt>
                <c:pt idx="8">
                  <c:v>30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31</c:v>
                </c:pt>
                <c:pt idx="13">
                  <c:v>30</c:v>
                </c:pt>
                <c:pt idx="14">
                  <c:v>32</c:v>
                </c:pt>
                <c:pt idx="15">
                  <c:v>31</c:v>
                </c:pt>
                <c:pt idx="16">
                  <c:v>31</c:v>
                </c:pt>
                <c:pt idx="17">
                  <c:v>32</c:v>
                </c:pt>
                <c:pt idx="18">
                  <c:v>31</c:v>
                </c:pt>
                <c:pt idx="19">
                  <c:v>32</c:v>
                </c:pt>
                <c:pt idx="20">
                  <c:v>32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  <c:pt idx="27">
                  <c:v>35</c:v>
                </c:pt>
                <c:pt idx="28">
                  <c:v>36</c:v>
                </c:pt>
                <c:pt idx="29">
                  <c:v>36</c:v>
                </c:pt>
                <c:pt idx="30">
                  <c:v>37</c:v>
                </c:pt>
                <c:pt idx="31">
                  <c:v>37</c:v>
                </c:pt>
                <c:pt idx="32">
                  <c:v>37</c:v>
                </c:pt>
                <c:pt idx="33">
                  <c:v>39</c:v>
                </c:pt>
                <c:pt idx="34">
                  <c:v>39</c:v>
                </c:pt>
                <c:pt idx="35">
                  <c:v>41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B-4B51-B1DC-AD4D9E4E3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'12g_Propane_Cold_2'!$B$3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'12g_Propane_Cold_2'!$E$3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'12g_Propane_Cold_3'!$E$4:$E$1048576</c:f>
              <c:numCache>
                <c:formatCode>General</c:formatCode>
                <c:ptCount val="1048573"/>
                <c:pt idx="0">
                  <c:v>29</c:v>
                </c:pt>
                <c:pt idx="1">
                  <c:v>30</c:v>
                </c:pt>
                <c:pt idx="2">
                  <c:v>28</c:v>
                </c:pt>
                <c:pt idx="3">
                  <c:v>30</c:v>
                </c:pt>
                <c:pt idx="4">
                  <c:v>30</c:v>
                </c:pt>
                <c:pt idx="5">
                  <c:v>29</c:v>
                </c:pt>
                <c:pt idx="6">
                  <c:v>30</c:v>
                </c:pt>
                <c:pt idx="7">
                  <c:v>31</c:v>
                </c:pt>
                <c:pt idx="8">
                  <c:v>30</c:v>
                </c:pt>
                <c:pt idx="9">
                  <c:v>31</c:v>
                </c:pt>
                <c:pt idx="10">
                  <c:v>31</c:v>
                </c:pt>
                <c:pt idx="11">
                  <c:v>32</c:v>
                </c:pt>
                <c:pt idx="12">
                  <c:v>31</c:v>
                </c:pt>
                <c:pt idx="13">
                  <c:v>31</c:v>
                </c:pt>
                <c:pt idx="14">
                  <c:v>32</c:v>
                </c:pt>
                <c:pt idx="15">
                  <c:v>31</c:v>
                </c:pt>
                <c:pt idx="16">
                  <c:v>33</c:v>
                </c:pt>
                <c:pt idx="17">
                  <c:v>33</c:v>
                </c:pt>
                <c:pt idx="18">
                  <c:v>32</c:v>
                </c:pt>
                <c:pt idx="19">
                  <c:v>34</c:v>
                </c:pt>
                <c:pt idx="20">
                  <c:v>0</c:v>
                </c:pt>
                <c:pt idx="21">
                  <c:v>35</c:v>
                </c:pt>
                <c:pt idx="22">
                  <c:v>35</c:v>
                </c:pt>
                <c:pt idx="23">
                  <c:v>35</c:v>
                </c:pt>
                <c:pt idx="24">
                  <c:v>36</c:v>
                </c:pt>
                <c:pt idx="25">
                  <c:v>35</c:v>
                </c:pt>
                <c:pt idx="26">
                  <c:v>35</c:v>
                </c:pt>
                <c:pt idx="27">
                  <c:v>36</c:v>
                </c:pt>
                <c:pt idx="28">
                  <c:v>37</c:v>
                </c:pt>
                <c:pt idx="29">
                  <c:v>38</c:v>
                </c:pt>
                <c:pt idx="30">
                  <c:v>39</c:v>
                </c:pt>
                <c:pt idx="31">
                  <c:v>39</c:v>
                </c:pt>
                <c:pt idx="32">
                  <c:v>0</c:v>
                </c:pt>
                <c:pt idx="33">
                  <c:v>40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42-480A-B8FF-F5BC12C28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'12g_Propane_Cold_3'!$B$3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'12g_Propane_Cold_3'!$E$3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- Comparing 12 or 18 grams of CO2 in different Temps</a:t>
            </a:r>
            <a:endParaRPr lang="en-US" sz="2400"/>
          </a:p>
        </c:rich>
      </c:tx>
      <c:layout>
        <c:manualLayout>
          <c:xMode val="edge"/>
          <c:yMode val="edge"/>
          <c:x val="1.2340304052902477E-2"/>
          <c:y val="1.60160160160160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966492824760532E-2"/>
          <c:y val="0.18636636636636636"/>
          <c:w val="0.73557571469353711"/>
          <c:h val="0.72473812395072257"/>
        </c:manualLayout>
      </c:layout>
      <c:scatterChart>
        <c:scatterStyle val="lineMarker"/>
        <c:varyColors val="0"/>
        <c:ser>
          <c:idx val="3"/>
          <c:order val="3"/>
          <c:tx>
            <c:v>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'12g_Propane_AVG''s'!$G$5:$G$100</c:f>
              <c:numCache>
                <c:formatCode>General</c:formatCode>
                <c:ptCount val="96"/>
                <c:pt idx="0">
                  <c:v>28.333333333333332</c:v>
                </c:pt>
                <c:pt idx="1">
                  <c:v>30</c:v>
                </c:pt>
                <c:pt idx="2">
                  <c:v>29</c:v>
                </c:pt>
                <c:pt idx="3">
                  <c:v>29.333333333333332</c:v>
                </c:pt>
                <c:pt idx="4">
                  <c:v>29.5</c:v>
                </c:pt>
                <c:pt idx="5">
                  <c:v>29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31</c:v>
                </c:pt>
                <c:pt idx="11">
                  <c:v>31.666666666666668</c:v>
                </c:pt>
                <c:pt idx="12">
                  <c:v>31</c:v>
                </c:pt>
                <c:pt idx="13">
                  <c:v>31</c:v>
                </c:pt>
                <c:pt idx="14">
                  <c:v>32</c:v>
                </c:pt>
                <c:pt idx="15">
                  <c:v>31.666666666666668</c:v>
                </c:pt>
                <c:pt idx="16">
                  <c:v>32.666666666666664</c:v>
                </c:pt>
                <c:pt idx="17">
                  <c:v>32.666666666666664</c:v>
                </c:pt>
                <c:pt idx="18">
                  <c:v>32.333333333333336</c:v>
                </c:pt>
                <c:pt idx="19">
                  <c:v>33</c:v>
                </c:pt>
                <c:pt idx="20">
                  <c:v>33</c:v>
                </c:pt>
                <c:pt idx="21">
                  <c:v>34.333333333333336</c:v>
                </c:pt>
                <c:pt idx="22">
                  <c:v>34</c:v>
                </c:pt>
                <c:pt idx="23">
                  <c:v>34.666666666666664</c:v>
                </c:pt>
                <c:pt idx="24">
                  <c:v>35.333333333333336</c:v>
                </c:pt>
                <c:pt idx="25">
                  <c:v>35.333333333333336</c:v>
                </c:pt>
                <c:pt idx="26">
                  <c:v>35.333333333333336</c:v>
                </c:pt>
                <c:pt idx="27">
                  <c:v>36.333333333333336</c:v>
                </c:pt>
                <c:pt idx="28">
                  <c:v>37</c:v>
                </c:pt>
                <c:pt idx="29">
                  <c:v>37.666666666666664</c:v>
                </c:pt>
                <c:pt idx="30">
                  <c:v>39</c:v>
                </c:pt>
                <c:pt idx="31">
                  <c:v>39</c:v>
                </c:pt>
                <c:pt idx="32">
                  <c:v>39</c:v>
                </c:pt>
                <c:pt idx="33">
                  <c:v>40.666666666666664</c:v>
                </c:pt>
                <c:pt idx="34">
                  <c:v>41</c:v>
                </c:pt>
                <c:pt idx="35">
                  <c:v>42.5</c:v>
                </c:pt>
                <c:pt idx="36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C5-485D-874F-718DA2A97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44432"/>
        <c:axId val="39908724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1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yVal>
                  <c:numRef>
                    <c:extLst>
                      <c:ext uri="{02D57815-91ED-43cb-92C2-25804820EDAC}">
                        <c15:formulaRef>
                          <c15:sqref>'12g_CO2_Cold_1'!$E$4:$E$80</c15:sqref>
                        </c15:formulaRef>
                      </c:ext>
                    </c:extLst>
                    <c:numCache>
                      <c:formatCode>General</c:formatCode>
                      <c:ptCount val="77"/>
                      <c:pt idx="0">
                        <c:v>20</c:v>
                      </c:pt>
                      <c:pt idx="1">
                        <c:v>20</c:v>
                      </c:pt>
                      <c:pt idx="2">
                        <c:v>22</c:v>
                      </c:pt>
                      <c:pt idx="3">
                        <c:v>20</c:v>
                      </c:pt>
                      <c:pt idx="4">
                        <c:v>22</c:v>
                      </c:pt>
                      <c:pt idx="5">
                        <c:v>21</c:v>
                      </c:pt>
                      <c:pt idx="6">
                        <c:v>20</c:v>
                      </c:pt>
                      <c:pt idx="7">
                        <c:v>21</c:v>
                      </c:pt>
                      <c:pt idx="8">
                        <c:v>21</c:v>
                      </c:pt>
                      <c:pt idx="9">
                        <c:v>22</c:v>
                      </c:pt>
                      <c:pt idx="10">
                        <c:v>22</c:v>
                      </c:pt>
                      <c:pt idx="11">
                        <c:v>22</c:v>
                      </c:pt>
                      <c:pt idx="12">
                        <c:v>22</c:v>
                      </c:pt>
                      <c:pt idx="13">
                        <c:v>21</c:v>
                      </c:pt>
                      <c:pt idx="14">
                        <c:v>22</c:v>
                      </c:pt>
                      <c:pt idx="15">
                        <c:v>22</c:v>
                      </c:pt>
                      <c:pt idx="16">
                        <c:v>22</c:v>
                      </c:pt>
                      <c:pt idx="17">
                        <c:v>23</c:v>
                      </c:pt>
                      <c:pt idx="19">
                        <c:v>23</c:v>
                      </c:pt>
                      <c:pt idx="20">
                        <c:v>24</c:v>
                      </c:pt>
                      <c:pt idx="22">
                        <c:v>23</c:v>
                      </c:pt>
                      <c:pt idx="23">
                        <c:v>23</c:v>
                      </c:pt>
                      <c:pt idx="24">
                        <c:v>23</c:v>
                      </c:pt>
                      <c:pt idx="26">
                        <c:v>23</c:v>
                      </c:pt>
                      <c:pt idx="27">
                        <c:v>24</c:v>
                      </c:pt>
                      <c:pt idx="28">
                        <c:v>24</c:v>
                      </c:pt>
                      <c:pt idx="29">
                        <c:v>24</c:v>
                      </c:pt>
                      <c:pt idx="30">
                        <c:v>23</c:v>
                      </c:pt>
                      <c:pt idx="31">
                        <c:v>25</c:v>
                      </c:pt>
                      <c:pt idx="32">
                        <c:v>24</c:v>
                      </c:pt>
                      <c:pt idx="33">
                        <c:v>24</c:v>
                      </c:pt>
                      <c:pt idx="34">
                        <c:v>24</c:v>
                      </c:pt>
                      <c:pt idx="35">
                        <c:v>24</c:v>
                      </c:pt>
                      <c:pt idx="36">
                        <c:v>24</c:v>
                      </c:pt>
                      <c:pt idx="37">
                        <c:v>26</c:v>
                      </c:pt>
                      <c:pt idx="38">
                        <c:v>25</c:v>
                      </c:pt>
                      <c:pt idx="39">
                        <c:v>26</c:v>
                      </c:pt>
                      <c:pt idx="40">
                        <c:v>25</c:v>
                      </c:pt>
                      <c:pt idx="41">
                        <c:v>25</c:v>
                      </c:pt>
                      <c:pt idx="42">
                        <c:v>26</c:v>
                      </c:pt>
                      <c:pt idx="43">
                        <c:v>24</c:v>
                      </c:pt>
                      <c:pt idx="44">
                        <c:v>24</c:v>
                      </c:pt>
                      <c:pt idx="45">
                        <c:v>26</c:v>
                      </c:pt>
                      <c:pt idx="46">
                        <c:v>25</c:v>
                      </c:pt>
                      <c:pt idx="47">
                        <c:v>27</c:v>
                      </c:pt>
                      <c:pt idx="48">
                        <c:v>27</c:v>
                      </c:pt>
                      <c:pt idx="49">
                        <c:v>26</c:v>
                      </c:pt>
                      <c:pt idx="50">
                        <c:v>26</c:v>
                      </c:pt>
                      <c:pt idx="51">
                        <c:v>27</c:v>
                      </c:pt>
                      <c:pt idx="52">
                        <c:v>27</c:v>
                      </c:pt>
                      <c:pt idx="53">
                        <c:v>28</c:v>
                      </c:pt>
                      <c:pt idx="54">
                        <c:v>26</c:v>
                      </c:pt>
                      <c:pt idx="55">
                        <c:v>29</c:v>
                      </c:pt>
                      <c:pt idx="56">
                        <c:v>28</c:v>
                      </c:pt>
                      <c:pt idx="57">
                        <c:v>27</c:v>
                      </c:pt>
                      <c:pt idx="58">
                        <c:v>29</c:v>
                      </c:pt>
                      <c:pt idx="59">
                        <c:v>27</c:v>
                      </c:pt>
                      <c:pt idx="60">
                        <c:v>30</c:v>
                      </c:pt>
                      <c:pt idx="61">
                        <c:v>30</c:v>
                      </c:pt>
                      <c:pt idx="62">
                        <c:v>29</c:v>
                      </c:pt>
                      <c:pt idx="63">
                        <c:v>31</c:v>
                      </c:pt>
                      <c:pt idx="64">
                        <c:v>31</c:v>
                      </c:pt>
                      <c:pt idx="65">
                        <c:v>31</c:v>
                      </c:pt>
                      <c:pt idx="66">
                        <c:v>32</c:v>
                      </c:pt>
                      <c:pt idx="67">
                        <c:v>30</c:v>
                      </c:pt>
                      <c:pt idx="68">
                        <c:v>33</c:v>
                      </c:pt>
                      <c:pt idx="69">
                        <c:v>34</c:v>
                      </c:pt>
                      <c:pt idx="70">
                        <c:v>35</c:v>
                      </c:pt>
                      <c:pt idx="71">
                        <c:v>36</c:v>
                      </c:pt>
                      <c:pt idx="72">
                        <c:v>36</c:v>
                      </c:pt>
                      <c:pt idx="73">
                        <c:v>39</c:v>
                      </c:pt>
                      <c:pt idx="74">
                        <c:v>39</c:v>
                      </c:pt>
                      <c:pt idx="75">
                        <c:v>43</c:v>
                      </c:pt>
                      <c:pt idx="76">
                        <c:v>45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B3C5-485D-874F-718DA2A972E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v>2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'12g_CO2_Cold_2'!$E$4:$E$80</c15:sqref>
                        </c15:formulaRef>
                      </c:ext>
                    </c:extLst>
                    <c:numCache>
                      <c:formatCode>General</c:formatCode>
                      <c:ptCount val="77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20</c:v>
                      </c:pt>
                      <c:pt idx="3">
                        <c:v>20</c:v>
                      </c:pt>
                      <c:pt idx="4">
                        <c:v>22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22</c:v>
                      </c:pt>
                      <c:pt idx="8">
                        <c:v>21</c:v>
                      </c:pt>
                      <c:pt idx="9">
                        <c:v>22</c:v>
                      </c:pt>
                      <c:pt idx="10">
                        <c:v>22</c:v>
                      </c:pt>
                      <c:pt idx="11">
                        <c:v>22</c:v>
                      </c:pt>
                      <c:pt idx="12">
                        <c:v>21</c:v>
                      </c:pt>
                      <c:pt idx="13">
                        <c:v>23</c:v>
                      </c:pt>
                      <c:pt idx="14">
                        <c:v>22</c:v>
                      </c:pt>
                      <c:pt idx="15">
                        <c:v>22</c:v>
                      </c:pt>
                      <c:pt idx="17">
                        <c:v>23</c:v>
                      </c:pt>
                      <c:pt idx="18">
                        <c:v>23</c:v>
                      </c:pt>
                      <c:pt idx="19">
                        <c:v>22</c:v>
                      </c:pt>
                      <c:pt idx="20">
                        <c:v>23</c:v>
                      </c:pt>
                      <c:pt idx="21">
                        <c:v>24</c:v>
                      </c:pt>
                      <c:pt idx="22">
                        <c:v>24</c:v>
                      </c:pt>
                      <c:pt idx="23">
                        <c:v>23</c:v>
                      </c:pt>
                      <c:pt idx="24">
                        <c:v>23</c:v>
                      </c:pt>
                      <c:pt idx="25">
                        <c:v>24</c:v>
                      </c:pt>
                      <c:pt idx="26">
                        <c:v>24</c:v>
                      </c:pt>
                      <c:pt idx="27">
                        <c:v>24</c:v>
                      </c:pt>
                      <c:pt idx="28">
                        <c:v>24</c:v>
                      </c:pt>
                      <c:pt idx="29">
                        <c:v>24</c:v>
                      </c:pt>
                      <c:pt idx="30">
                        <c:v>25</c:v>
                      </c:pt>
                      <c:pt idx="31">
                        <c:v>25</c:v>
                      </c:pt>
                      <c:pt idx="32">
                        <c:v>24</c:v>
                      </c:pt>
                      <c:pt idx="34">
                        <c:v>26</c:v>
                      </c:pt>
                      <c:pt idx="35">
                        <c:v>25</c:v>
                      </c:pt>
                      <c:pt idx="36">
                        <c:v>27</c:v>
                      </c:pt>
                      <c:pt idx="37">
                        <c:v>25</c:v>
                      </c:pt>
                      <c:pt idx="38">
                        <c:v>24</c:v>
                      </c:pt>
                      <c:pt idx="39">
                        <c:v>26</c:v>
                      </c:pt>
                      <c:pt idx="40">
                        <c:v>26</c:v>
                      </c:pt>
                      <c:pt idx="41">
                        <c:v>25</c:v>
                      </c:pt>
                      <c:pt idx="42">
                        <c:v>26</c:v>
                      </c:pt>
                      <c:pt idx="45">
                        <c:v>25</c:v>
                      </c:pt>
                      <c:pt idx="46">
                        <c:v>26</c:v>
                      </c:pt>
                      <c:pt idx="47">
                        <c:v>26</c:v>
                      </c:pt>
                      <c:pt idx="48">
                        <c:v>26</c:v>
                      </c:pt>
                      <c:pt idx="50">
                        <c:v>28</c:v>
                      </c:pt>
                      <c:pt idx="51">
                        <c:v>27</c:v>
                      </c:pt>
                      <c:pt idx="53">
                        <c:v>26</c:v>
                      </c:pt>
                      <c:pt idx="54">
                        <c:v>28</c:v>
                      </c:pt>
                      <c:pt idx="55">
                        <c:v>27</c:v>
                      </c:pt>
                      <c:pt idx="56">
                        <c:v>27</c:v>
                      </c:pt>
                      <c:pt idx="58">
                        <c:v>30</c:v>
                      </c:pt>
                      <c:pt idx="59">
                        <c:v>30</c:v>
                      </c:pt>
                      <c:pt idx="60">
                        <c:v>30</c:v>
                      </c:pt>
                      <c:pt idx="61">
                        <c:v>30</c:v>
                      </c:pt>
                      <c:pt idx="62">
                        <c:v>31</c:v>
                      </c:pt>
                      <c:pt idx="63">
                        <c:v>32</c:v>
                      </c:pt>
                      <c:pt idx="64">
                        <c:v>32</c:v>
                      </c:pt>
                      <c:pt idx="65">
                        <c:v>33</c:v>
                      </c:pt>
                      <c:pt idx="66">
                        <c:v>33</c:v>
                      </c:pt>
                      <c:pt idx="67">
                        <c:v>34</c:v>
                      </c:pt>
                      <c:pt idx="68">
                        <c:v>37</c:v>
                      </c:pt>
                      <c:pt idx="69">
                        <c:v>37</c:v>
                      </c:pt>
                      <c:pt idx="70">
                        <c:v>38</c:v>
                      </c:pt>
                      <c:pt idx="71">
                        <c:v>38</c:v>
                      </c:pt>
                      <c:pt idx="72">
                        <c:v>40</c:v>
                      </c:pt>
                      <c:pt idx="73">
                        <c:v>37</c:v>
                      </c:pt>
                      <c:pt idx="74">
                        <c:v>39</c:v>
                      </c:pt>
                      <c:pt idx="75">
                        <c:v>43</c:v>
                      </c:pt>
                      <c:pt idx="76">
                        <c:v>43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3C5-485D-874F-718DA2A972E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v>3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'12g_CO2_Cold_3'!$E$4:$E$77</c15:sqref>
                        </c15:formulaRef>
                      </c:ext>
                    </c:extLst>
                    <c:numCache>
                      <c:formatCode>General</c:formatCode>
                      <c:ptCount val="74"/>
                      <c:pt idx="0">
                        <c:v>19</c:v>
                      </c:pt>
                      <c:pt idx="1">
                        <c:v>20</c:v>
                      </c:pt>
                      <c:pt idx="2">
                        <c:v>19</c:v>
                      </c:pt>
                      <c:pt idx="3">
                        <c:v>21</c:v>
                      </c:pt>
                      <c:pt idx="5">
                        <c:v>21</c:v>
                      </c:pt>
                      <c:pt idx="6">
                        <c:v>21</c:v>
                      </c:pt>
                      <c:pt idx="7">
                        <c:v>20</c:v>
                      </c:pt>
                      <c:pt idx="8">
                        <c:v>21</c:v>
                      </c:pt>
                      <c:pt idx="9">
                        <c:v>20</c:v>
                      </c:pt>
                      <c:pt idx="10">
                        <c:v>21</c:v>
                      </c:pt>
                      <c:pt idx="11">
                        <c:v>20</c:v>
                      </c:pt>
                      <c:pt idx="12">
                        <c:v>22</c:v>
                      </c:pt>
                      <c:pt idx="13">
                        <c:v>22</c:v>
                      </c:pt>
                      <c:pt idx="14">
                        <c:v>21</c:v>
                      </c:pt>
                      <c:pt idx="15">
                        <c:v>22</c:v>
                      </c:pt>
                      <c:pt idx="17">
                        <c:v>22</c:v>
                      </c:pt>
                      <c:pt idx="18">
                        <c:v>22</c:v>
                      </c:pt>
                      <c:pt idx="19">
                        <c:v>21</c:v>
                      </c:pt>
                      <c:pt idx="20">
                        <c:v>22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21</c:v>
                      </c:pt>
                      <c:pt idx="25">
                        <c:v>23</c:v>
                      </c:pt>
                      <c:pt idx="26">
                        <c:v>23</c:v>
                      </c:pt>
                      <c:pt idx="27">
                        <c:v>22</c:v>
                      </c:pt>
                      <c:pt idx="28">
                        <c:v>24</c:v>
                      </c:pt>
                      <c:pt idx="29">
                        <c:v>22</c:v>
                      </c:pt>
                      <c:pt idx="30">
                        <c:v>23</c:v>
                      </c:pt>
                      <c:pt idx="31">
                        <c:v>23</c:v>
                      </c:pt>
                      <c:pt idx="33">
                        <c:v>23</c:v>
                      </c:pt>
                      <c:pt idx="34">
                        <c:v>24</c:v>
                      </c:pt>
                      <c:pt idx="35">
                        <c:v>24</c:v>
                      </c:pt>
                      <c:pt idx="36">
                        <c:v>25</c:v>
                      </c:pt>
                      <c:pt idx="37">
                        <c:v>25</c:v>
                      </c:pt>
                      <c:pt idx="38">
                        <c:v>25</c:v>
                      </c:pt>
                      <c:pt idx="39">
                        <c:v>25</c:v>
                      </c:pt>
                      <c:pt idx="40">
                        <c:v>24</c:v>
                      </c:pt>
                      <c:pt idx="41">
                        <c:v>24</c:v>
                      </c:pt>
                      <c:pt idx="42">
                        <c:v>24</c:v>
                      </c:pt>
                      <c:pt idx="43">
                        <c:v>26</c:v>
                      </c:pt>
                      <c:pt idx="44">
                        <c:v>26</c:v>
                      </c:pt>
                      <c:pt idx="47">
                        <c:v>26</c:v>
                      </c:pt>
                      <c:pt idx="48">
                        <c:v>27</c:v>
                      </c:pt>
                      <c:pt idx="50">
                        <c:v>27</c:v>
                      </c:pt>
                      <c:pt idx="52">
                        <c:v>29</c:v>
                      </c:pt>
                      <c:pt idx="53">
                        <c:v>28</c:v>
                      </c:pt>
                      <c:pt idx="54">
                        <c:v>30</c:v>
                      </c:pt>
                      <c:pt idx="55">
                        <c:v>30</c:v>
                      </c:pt>
                      <c:pt idx="56">
                        <c:v>30</c:v>
                      </c:pt>
                      <c:pt idx="57">
                        <c:v>31</c:v>
                      </c:pt>
                      <c:pt idx="58">
                        <c:v>31</c:v>
                      </c:pt>
                      <c:pt idx="59">
                        <c:v>32</c:v>
                      </c:pt>
                      <c:pt idx="60">
                        <c:v>32</c:v>
                      </c:pt>
                      <c:pt idx="61">
                        <c:v>33</c:v>
                      </c:pt>
                      <c:pt idx="62">
                        <c:v>33</c:v>
                      </c:pt>
                      <c:pt idx="63">
                        <c:v>35</c:v>
                      </c:pt>
                      <c:pt idx="64">
                        <c:v>35</c:v>
                      </c:pt>
                      <c:pt idx="65">
                        <c:v>35</c:v>
                      </c:pt>
                      <c:pt idx="66">
                        <c:v>37</c:v>
                      </c:pt>
                      <c:pt idx="67">
                        <c:v>39</c:v>
                      </c:pt>
                      <c:pt idx="68">
                        <c:v>37</c:v>
                      </c:pt>
                      <c:pt idx="69">
                        <c:v>41</c:v>
                      </c:pt>
                      <c:pt idx="70">
                        <c:v>38</c:v>
                      </c:pt>
                      <c:pt idx="71">
                        <c:v>38</c:v>
                      </c:pt>
                      <c:pt idx="72">
                        <c:v>40</c:v>
                      </c:pt>
                      <c:pt idx="73">
                        <c:v>43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3C5-485D-874F-718DA2A972EC}"/>
                  </c:ext>
                </c:extLst>
              </c15:ser>
            </c15:filteredScatterSeries>
          </c:ext>
        </c:extLst>
      </c:scatterChart>
      <c:valAx>
        <c:axId val="164244432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Sample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087248"/>
        <c:crosses val="autoZero"/>
        <c:crossBetween val="midCat"/>
      </c:valAx>
      <c:valAx>
        <c:axId val="39908724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Blowback</a:t>
                </a:r>
                <a:r>
                  <a:rPr lang="en-US" sz="1800" baseline="0"/>
                  <a:t> Time (ms)</a:t>
                </a:r>
                <a:endParaRPr lang="en-US" sz="1800"/>
              </a:p>
            </c:rich>
          </c:tx>
          <c:layout>
            <c:manualLayout>
              <c:xMode val="edge"/>
              <c:yMode val="edge"/>
              <c:x val="2.950310188499165E-2"/>
              <c:y val="0.395792485398784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44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658180824111185"/>
          <c:y val="0.31115534838495629"/>
          <c:w val="3.0372095876616649E-2"/>
          <c:h val="3.12068758395491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'18g_Propane_Cold_1'!$E$4:$E$1048576</c:f>
              <c:numCache>
                <c:formatCode>General</c:formatCode>
                <c:ptCount val="1048573"/>
                <c:pt idx="0">
                  <c:v>24</c:v>
                </c:pt>
                <c:pt idx="1">
                  <c:v>25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28</c:v>
                </c:pt>
                <c:pt idx="6">
                  <c:v>27</c:v>
                </c:pt>
                <c:pt idx="7">
                  <c:v>28</c:v>
                </c:pt>
                <c:pt idx="8">
                  <c:v>29</c:v>
                </c:pt>
                <c:pt idx="9">
                  <c:v>29</c:v>
                </c:pt>
                <c:pt idx="10">
                  <c:v>31</c:v>
                </c:pt>
                <c:pt idx="11">
                  <c:v>29</c:v>
                </c:pt>
                <c:pt idx="12">
                  <c:v>30</c:v>
                </c:pt>
                <c:pt idx="13">
                  <c:v>30</c:v>
                </c:pt>
                <c:pt idx="14">
                  <c:v>29</c:v>
                </c:pt>
                <c:pt idx="15">
                  <c:v>30</c:v>
                </c:pt>
                <c:pt idx="16">
                  <c:v>30</c:v>
                </c:pt>
                <c:pt idx="17">
                  <c:v>29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31</c:v>
                </c:pt>
                <c:pt idx="24">
                  <c:v>31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31</c:v>
                </c:pt>
                <c:pt idx="31">
                  <c:v>32</c:v>
                </c:pt>
                <c:pt idx="32">
                  <c:v>32</c:v>
                </c:pt>
                <c:pt idx="33">
                  <c:v>33</c:v>
                </c:pt>
                <c:pt idx="34">
                  <c:v>33</c:v>
                </c:pt>
                <c:pt idx="35">
                  <c:v>33</c:v>
                </c:pt>
                <c:pt idx="36">
                  <c:v>34</c:v>
                </c:pt>
                <c:pt idx="37">
                  <c:v>34</c:v>
                </c:pt>
                <c:pt idx="38">
                  <c:v>33</c:v>
                </c:pt>
                <c:pt idx="39">
                  <c:v>35</c:v>
                </c:pt>
                <c:pt idx="40">
                  <c:v>35</c:v>
                </c:pt>
                <c:pt idx="41">
                  <c:v>36</c:v>
                </c:pt>
                <c:pt idx="42">
                  <c:v>35</c:v>
                </c:pt>
                <c:pt idx="43">
                  <c:v>0</c:v>
                </c:pt>
                <c:pt idx="44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D3-4279-A8FF-F97B53949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'18g_Propane_Cold_1'!$B$3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'18g_Propane_Cold_1'!$E$3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'18g_Propane_Cold_2'!$E$4:$E$1048576</c:f>
              <c:numCache>
                <c:formatCode>General</c:formatCode>
                <c:ptCount val="1048573"/>
                <c:pt idx="0">
                  <c:v>24</c:v>
                </c:pt>
                <c:pt idx="1">
                  <c:v>25</c:v>
                </c:pt>
                <c:pt idx="2">
                  <c:v>29</c:v>
                </c:pt>
                <c:pt idx="3">
                  <c:v>28</c:v>
                </c:pt>
                <c:pt idx="4">
                  <c:v>30</c:v>
                </c:pt>
                <c:pt idx="5">
                  <c:v>31</c:v>
                </c:pt>
                <c:pt idx="6">
                  <c:v>31</c:v>
                </c:pt>
                <c:pt idx="7">
                  <c:v>30</c:v>
                </c:pt>
                <c:pt idx="8">
                  <c:v>31</c:v>
                </c:pt>
                <c:pt idx="9">
                  <c:v>31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31</c:v>
                </c:pt>
                <c:pt idx="17">
                  <c:v>32</c:v>
                </c:pt>
                <c:pt idx="18">
                  <c:v>32</c:v>
                </c:pt>
                <c:pt idx="19">
                  <c:v>31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33</c:v>
                </c:pt>
                <c:pt idx="24">
                  <c:v>32</c:v>
                </c:pt>
                <c:pt idx="26">
                  <c:v>34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36</c:v>
                </c:pt>
                <c:pt idx="36">
                  <c:v>37</c:v>
                </c:pt>
                <c:pt idx="37">
                  <c:v>37</c:v>
                </c:pt>
                <c:pt idx="38">
                  <c:v>37</c:v>
                </c:pt>
                <c:pt idx="39">
                  <c:v>37</c:v>
                </c:pt>
                <c:pt idx="40">
                  <c:v>39</c:v>
                </c:pt>
                <c:pt idx="41">
                  <c:v>38</c:v>
                </c:pt>
                <c:pt idx="42">
                  <c:v>39</c:v>
                </c:pt>
                <c:pt idx="43">
                  <c:v>39</c:v>
                </c:pt>
                <c:pt idx="44">
                  <c:v>39</c:v>
                </c:pt>
                <c:pt idx="45">
                  <c:v>39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43</c:v>
                </c:pt>
                <c:pt idx="50">
                  <c:v>44</c:v>
                </c:pt>
                <c:pt idx="51">
                  <c:v>43</c:v>
                </c:pt>
                <c:pt idx="53">
                  <c:v>42</c:v>
                </c:pt>
                <c:pt idx="54">
                  <c:v>44</c:v>
                </c:pt>
                <c:pt idx="55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3B-4A59-8609-CC1408C58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'18g_Propane_Cold_2'!$B$3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'18g_Propane_Cold_2'!$E$3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- Comparing 12 or 18 grams of CO2 in different Temps</a:t>
            </a:r>
            <a:endParaRPr lang="en-US" sz="2400"/>
          </a:p>
        </c:rich>
      </c:tx>
      <c:layout>
        <c:manualLayout>
          <c:xMode val="edge"/>
          <c:yMode val="edge"/>
          <c:x val="1.2340304052902477E-2"/>
          <c:y val="1.60160160160160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966492824760532E-2"/>
          <c:y val="0.18636636636636636"/>
          <c:w val="0.73557571469353711"/>
          <c:h val="0.72473812395072257"/>
        </c:manualLayout>
      </c:layout>
      <c:scatterChart>
        <c:scatterStyle val="lineMarker"/>
        <c:varyColors val="0"/>
        <c:ser>
          <c:idx val="3"/>
          <c:order val="3"/>
          <c:tx>
            <c:v>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'18g_Propane_AVG''s'!$G$5:$G$100</c:f>
              <c:numCache>
                <c:formatCode>General</c:formatCode>
                <c:ptCount val="96"/>
                <c:pt idx="0">
                  <c:v>24</c:v>
                </c:pt>
                <c:pt idx="1">
                  <c:v>25</c:v>
                </c:pt>
                <c:pt idx="2">
                  <c:v>28</c:v>
                </c:pt>
                <c:pt idx="3">
                  <c:v>27.5</c:v>
                </c:pt>
                <c:pt idx="4">
                  <c:v>28.5</c:v>
                </c:pt>
                <c:pt idx="5">
                  <c:v>29.5</c:v>
                </c:pt>
                <c:pt idx="6">
                  <c:v>29</c:v>
                </c:pt>
                <c:pt idx="7">
                  <c:v>29</c:v>
                </c:pt>
                <c:pt idx="8">
                  <c:v>30</c:v>
                </c:pt>
                <c:pt idx="9">
                  <c:v>30</c:v>
                </c:pt>
                <c:pt idx="10">
                  <c:v>31.5</c:v>
                </c:pt>
                <c:pt idx="11">
                  <c:v>30.5</c:v>
                </c:pt>
                <c:pt idx="12">
                  <c:v>31</c:v>
                </c:pt>
                <c:pt idx="13">
                  <c:v>31</c:v>
                </c:pt>
                <c:pt idx="14">
                  <c:v>30.5</c:v>
                </c:pt>
                <c:pt idx="15">
                  <c:v>31</c:v>
                </c:pt>
                <c:pt idx="16">
                  <c:v>30.5</c:v>
                </c:pt>
                <c:pt idx="17">
                  <c:v>30.5</c:v>
                </c:pt>
                <c:pt idx="18">
                  <c:v>31</c:v>
                </c:pt>
                <c:pt idx="19">
                  <c:v>30.5</c:v>
                </c:pt>
                <c:pt idx="20">
                  <c:v>31</c:v>
                </c:pt>
                <c:pt idx="21">
                  <c:v>31</c:v>
                </c:pt>
                <c:pt idx="22">
                  <c:v>31</c:v>
                </c:pt>
                <c:pt idx="23">
                  <c:v>32</c:v>
                </c:pt>
                <c:pt idx="24">
                  <c:v>31.5</c:v>
                </c:pt>
                <c:pt idx="25">
                  <c:v>30</c:v>
                </c:pt>
                <c:pt idx="26">
                  <c:v>32.5</c:v>
                </c:pt>
                <c:pt idx="27">
                  <c:v>32</c:v>
                </c:pt>
                <c:pt idx="28">
                  <c:v>32.5</c:v>
                </c:pt>
                <c:pt idx="29">
                  <c:v>33</c:v>
                </c:pt>
                <c:pt idx="30">
                  <c:v>32.5</c:v>
                </c:pt>
                <c:pt idx="31">
                  <c:v>32</c:v>
                </c:pt>
                <c:pt idx="32">
                  <c:v>32</c:v>
                </c:pt>
                <c:pt idx="33">
                  <c:v>34</c:v>
                </c:pt>
                <c:pt idx="34">
                  <c:v>34.5</c:v>
                </c:pt>
                <c:pt idx="35">
                  <c:v>34.5</c:v>
                </c:pt>
                <c:pt idx="36">
                  <c:v>35.5</c:v>
                </c:pt>
                <c:pt idx="37">
                  <c:v>35.5</c:v>
                </c:pt>
                <c:pt idx="38">
                  <c:v>35</c:v>
                </c:pt>
                <c:pt idx="39">
                  <c:v>36</c:v>
                </c:pt>
                <c:pt idx="40">
                  <c:v>37</c:v>
                </c:pt>
                <c:pt idx="41">
                  <c:v>37</c:v>
                </c:pt>
                <c:pt idx="42">
                  <c:v>37</c:v>
                </c:pt>
                <c:pt idx="43">
                  <c:v>39</c:v>
                </c:pt>
                <c:pt idx="44">
                  <c:v>37.5</c:v>
                </c:pt>
                <c:pt idx="45">
                  <c:v>39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43</c:v>
                </c:pt>
                <c:pt idx="50">
                  <c:v>44</c:v>
                </c:pt>
                <c:pt idx="51">
                  <c:v>43</c:v>
                </c:pt>
                <c:pt idx="52">
                  <c:v>0</c:v>
                </c:pt>
                <c:pt idx="53">
                  <c:v>42</c:v>
                </c:pt>
                <c:pt idx="54">
                  <c:v>44</c:v>
                </c:pt>
                <c:pt idx="55">
                  <c:v>44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5E-48F7-BA81-D4C295BB6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44432"/>
        <c:axId val="39908724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1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yVal>
                  <c:numRef>
                    <c:extLst>
                      <c:ext uri="{02D57815-91ED-43cb-92C2-25804820EDAC}">
                        <c15:formulaRef>
                          <c15:sqref>'12g_CO2_Cold_1'!$E$4:$E$80</c15:sqref>
                        </c15:formulaRef>
                      </c:ext>
                    </c:extLst>
                    <c:numCache>
                      <c:formatCode>General</c:formatCode>
                      <c:ptCount val="77"/>
                      <c:pt idx="0">
                        <c:v>20</c:v>
                      </c:pt>
                      <c:pt idx="1">
                        <c:v>20</c:v>
                      </c:pt>
                      <c:pt idx="2">
                        <c:v>22</c:v>
                      </c:pt>
                      <c:pt idx="3">
                        <c:v>20</c:v>
                      </c:pt>
                      <c:pt idx="4">
                        <c:v>22</c:v>
                      </c:pt>
                      <c:pt idx="5">
                        <c:v>21</c:v>
                      </c:pt>
                      <c:pt idx="6">
                        <c:v>20</c:v>
                      </c:pt>
                      <c:pt idx="7">
                        <c:v>21</c:v>
                      </c:pt>
                      <c:pt idx="8">
                        <c:v>21</c:v>
                      </c:pt>
                      <c:pt idx="9">
                        <c:v>22</c:v>
                      </c:pt>
                      <c:pt idx="10">
                        <c:v>22</c:v>
                      </c:pt>
                      <c:pt idx="11">
                        <c:v>22</c:v>
                      </c:pt>
                      <c:pt idx="12">
                        <c:v>22</c:v>
                      </c:pt>
                      <c:pt idx="13">
                        <c:v>21</c:v>
                      </c:pt>
                      <c:pt idx="14">
                        <c:v>22</c:v>
                      </c:pt>
                      <c:pt idx="15">
                        <c:v>22</c:v>
                      </c:pt>
                      <c:pt idx="16">
                        <c:v>22</c:v>
                      </c:pt>
                      <c:pt idx="17">
                        <c:v>23</c:v>
                      </c:pt>
                      <c:pt idx="19">
                        <c:v>23</c:v>
                      </c:pt>
                      <c:pt idx="20">
                        <c:v>24</c:v>
                      </c:pt>
                      <c:pt idx="22">
                        <c:v>23</c:v>
                      </c:pt>
                      <c:pt idx="23">
                        <c:v>23</c:v>
                      </c:pt>
                      <c:pt idx="24">
                        <c:v>23</c:v>
                      </c:pt>
                      <c:pt idx="26">
                        <c:v>23</c:v>
                      </c:pt>
                      <c:pt idx="27">
                        <c:v>24</c:v>
                      </c:pt>
                      <c:pt idx="28">
                        <c:v>24</c:v>
                      </c:pt>
                      <c:pt idx="29">
                        <c:v>24</c:v>
                      </c:pt>
                      <c:pt idx="30">
                        <c:v>23</c:v>
                      </c:pt>
                      <c:pt idx="31">
                        <c:v>25</c:v>
                      </c:pt>
                      <c:pt idx="32">
                        <c:v>24</c:v>
                      </c:pt>
                      <c:pt idx="33">
                        <c:v>24</c:v>
                      </c:pt>
                      <c:pt idx="34">
                        <c:v>24</c:v>
                      </c:pt>
                      <c:pt idx="35">
                        <c:v>24</c:v>
                      </c:pt>
                      <c:pt idx="36">
                        <c:v>24</c:v>
                      </c:pt>
                      <c:pt idx="37">
                        <c:v>26</c:v>
                      </c:pt>
                      <c:pt idx="38">
                        <c:v>25</c:v>
                      </c:pt>
                      <c:pt idx="39">
                        <c:v>26</c:v>
                      </c:pt>
                      <c:pt idx="40">
                        <c:v>25</c:v>
                      </c:pt>
                      <c:pt idx="41">
                        <c:v>25</c:v>
                      </c:pt>
                      <c:pt idx="42">
                        <c:v>26</c:v>
                      </c:pt>
                      <c:pt idx="43">
                        <c:v>24</c:v>
                      </c:pt>
                      <c:pt idx="44">
                        <c:v>24</c:v>
                      </c:pt>
                      <c:pt idx="45">
                        <c:v>26</c:v>
                      </c:pt>
                      <c:pt idx="46">
                        <c:v>25</c:v>
                      </c:pt>
                      <c:pt idx="47">
                        <c:v>27</c:v>
                      </c:pt>
                      <c:pt idx="48">
                        <c:v>27</c:v>
                      </c:pt>
                      <c:pt idx="49">
                        <c:v>26</c:v>
                      </c:pt>
                      <c:pt idx="50">
                        <c:v>26</c:v>
                      </c:pt>
                      <c:pt idx="51">
                        <c:v>27</c:v>
                      </c:pt>
                      <c:pt idx="52">
                        <c:v>27</c:v>
                      </c:pt>
                      <c:pt idx="53">
                        <c:v>28</c:v>
                      </c:pt>
                      <c:pt idx="54">
                        <c:v>26</c:v>
                      </c:pt>
                      <c:pt idx="55">
                        <c:v>29</c:v>
                      </c:pt>
                      <c:pt idx="56">
                        <c:v>28</c:v>
                      </c:pt>
                      <c:pt idx="57">
                        <c:v>27</c:v>
                      </c:pt>
                      <c:pt idx="58">
                        <c:v>29</c:v>
                      </c:pt>
                      <c:pt idx="59">
                        <c:v>27</c:v>
                      </c:pt>
                      <c:pt idx="60">
                        <c:v>30</c:v>
                      </c:pt>
                      <c:pt idx="61">
                        <c:v>30</c:v>
                      </c:pt>
                      <c:pt idx="62">
                        <c:v>29</c:v>
                      </c:pt>
                      <c:pt idx="63">
                        <c:v>31</c:v>
                      </c:pt>
                      <c:pt idx="64">
                        <c:v>31</c:v>
                      </c:pt>
                      <c:pt idx="65">
                        <c:v>31</c:v>
                      </c:pt>
                      <c:pt idx="66">
                        <c:v>32</c:v>
                      </c:pt>
                      <c:pt idx="67">
                        <c:v>30</c:v>
                      </c:pt>
                      <c:pt idx="68">
                        <c:v>33</c:v>
                      </c:pt>
                      <c:pt idx="69">
                        <c:v>34</c:v>
                      </c:pt>
                      <c:pt idx="70">
                        <c:v>35</c:v>
                      </c:pt>
                      <c:pt idx="71">
                        <c:v>36</c:v>
                      </c:pt>
                      <c:pt idx="72">
                        <c:v>36</c:v>
                      </c:pt>
                      <c:pt idx="73">
                        <c:v>39</c:v>
                      </c:pt>
                      <c:pt idx="74">
                        <c:v>39</c:v>
                      </c:pt>
                      <c:pt idx="75">
                        <c:v>43</c:v>
                      </c:pt>
                      <c:pt idx="76">
                        <c:v>45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8B5E-48F7-BA81-D4C295BB6149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v>2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'12g_CO2_Cold_2'!$E$4:$E$80</c15:sqref>
                        </c15:formulaRef>
                      </c:ext>
                    </c:extLst>
                    <c:numCache>
                      <c:formatCode>General</c:formatCode>
                      <c:ptCount val="77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20</c:v>
                      </c:pt>
                      <c:pt idx="3">
                        <c:v>20</c:v>
                      </c:pt>
                      <c:pt idx="4">
                        <c:v>22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22</c:v>
                      </c:pt>
                      <c:pt idx="8">
                        <c:v>21</c:v>
                      </c:pt>
                      <c:pt idx="9">
                        <c:v>22</c:v>
                      </c:pt>
                      <c:pt idx="10">
                        <c:v>22</c:v>
                      </c:pt>
                      <c:pt idx="11">
                        <c:v>22</c:v>
                      </c:pt>
                      <c:pt idx="12">
                        <c:v>21</c:v>
                      </c:pt>
                      <c:pt idx="13">
                        <c:v>23</c:v>
                      </c:pt>
                      <c:pt idx="14">
                        <c:v>22</c:v>
                      </c:pt>
                      <c:pt idx="15">
                        <c:v>22</c:v>
                      </c:pt>
                      <c:pt idx="17">
                        <c:v>23</c:v>
                      </c:pt>
                      <c:pt idx="18">
                        <c:v>23</c:v>
                      </c:pt>
                      <c:pt idx="19">
                        <c:v>22</c:v>
                      </c:pt>
                      <c:pt idx="20">
                        <c:v>23</c:v>
                      </c:pt>
                      <c:pt idx="21">
                        <c:v>24</c:v>
                      </c:pt>
                      <c:pt idx="22">
                        <c:v>24</c:v>
                      </c:pt>
                      <c:pt idx="23">
                        <c:v>23</c:v>
                      </c:pt>
                      <c:pt idx="24">
                        <c:v>23</c:v>
                      </c:pt>
                      <c:pt idx="25">
                        <c:v>24</c:v>
                      </c:pt>
                      <c:pt idx="26">
                        <c:v>24</c:v>
                      </c:pt>
                      <c:pt idx="27">
                        <c:v>24</c:v>
                      </c:pt>
                      <c:pt idx="28">
                        <c:v>24</c:v>
                      </c:pt>
                      <c:pt idx="29">
                        <c:v>24</c:v>
                      </c:pt>
                      <c:pt idx="30">
                        <c:v>25</c:v>
                      </c:pt>
                      <c:pt idx="31">
                        <c:v>25</c:v>
                      </c:pt>
                      <c:pt idx="32">
                        <c:v>24</c:v>
                      </c:pt>
                      <c:pt idx="34">
                        <c:v>26</c:v>
                      </c:pt>
                      <c:pt idx="35">
                        <c:v>25</c:v>
                      </c:pt>
                      <c:pt idx="36">
                        <c:v>27</c:v>
                      </c:pt>
                      <c:pt idx="37">
                        <c:v>25</c:v>
                      </c:pt>
                      <c:pt idx="38">
                        <c:v>24</c:v>
                      </c:pt>
                      <c:pt idx="39">
                        <c:v>26</c:v>
                      </c:pt>
                      <c:pt idx="40">
                        <c:v>26</c:v>
                      </c:pt>
                      <c:pt idx="41">
                        <c:v>25</c:v>
                      </c:pt>
                      <c:pt idx="42">
                        <c:v>26</c:v>
                      </c:pt>
                      <c:pt idx="45">
                        <c:v>25</c:v>
                      </c:pt>
                      <c:pt idx="46">
                        <c:v>26</c:v>
                      </c:pt>
                      <c:pt idx="47">
                        <c:v>26</c:v>
                      </c:pt>
                      <c:pt idx="48">
                        <c:v>26</c:v>
                      </c:pt>
                      <c:pt idx="50">
                        <c:v>28</c:v>
                      </c:pt>
                      <c:pt idx="51">
                        <c:v>27</c:v>
                      </c:pt>
                      <c:pt idx="53">
                        <c:v>26</c:v>
                      </c:pt>
                      <c:pt idx="54">
                        <c:v>28</c:v>
                      </c:pt>
                      <c:pt idx="55">
                        <c:v>27</c:v>
                      </c:pt>
                      <c:pt idx="56">
                        <c:v>27</c:v>
                      </c:pt>
                      <c:pt idx="58">
                        <c:v>30</c:v>
                      </c:pt>
                      <c:pt idx="59">
                        <c:v>30</c:v>
                      </c:pt>
                      <c:pt idx="60">
                        <c:v>30</c:v>
                      </c:pt>
                      <c:pt idx="61">
                        <c:v>30</c:v>
                      </c:pt>
                      <c:pt idx="62">
                        <c:v>31</c:v>
                      </c:pt>
                      <c:pt idx="63">
                        <c:v>32</c:v>
                      </c:pt>
                      <c:pt idx="64">
                        <c:v>32</c:v>
                      </c:pt>
                      <c:pt idx="65">
                        <c:v>33</c:v>
                      </c:pt>
                      <c:pt idx="66">
                        <c:v>33</c:v>
                      </c:pt>
                      <c:pt idx="67">
                        <c:v>34</c:v>
                      </c:pt>
                      <c:pt idx="68">
                        <c:v>37</c:v>
                      </c:pt>
                      <c:pt idx="69">
                        <c:v>37</c:v>
                      </c:pt>
                      <c:pt idx="70">
                        <c:v>38</c:v>
                      </c:pt>
                      <c:pt idx="71">
                        <c:v>38</c:v>
                      </c:pt>
                      <c:pt idx="72">
                        <c:v>40</c:v>
                      </c:pt>
                      <c:pt idx="73">
                        <c:v>37</c:v>
                      </c:pt>
                      <c:pt idx="74">
                        <c:v>39</c:v>
                      </c:pt>
                      <c:pt idx="75">
                        <c:v>43</c:v>
                      </c:pt>
                      <c:pt idx="76">
                        <c:v>43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B5E-48F7-BA81-D4C295BB614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v>3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'12g_CO2_Cold_3'!$E$4:$E$77</c15:sqref>
                        </c15:formulaRef>
                      </c:ext>
                    </c:extLst>
                    <c:numCache>
                      <c:formatCode>General</c:formatCode>
                      <c:ptCount val="74"/>
                      <c:pt idx="0">
                        <c:v>19</c:v>
                      </c:pt>
                      <c:pt idx="1">
                        <c:v>20</c:v>
                      </c:pt>
                      <c:pt idx="2">
                        <c:v>19</c:v>
                      </c:pt>
                      <c:pt idx="3">
                        <c:v>21</c:v>
                      </c:pt>
                      <c:pt idx="5">
                        <c:v>21</c:v>
                      </c:pt>
                      <c:pt idx="6">
                        <c:v>21</c:v>
                      </c:pt>
                      <c:pt idx="7">
                        <c:v>20</c:v>
                      </c:pt>
                      <c:pt idx="8">
                        <c:v>21</c:v>
                      </c:pt>
                      <c:pt idx="9">
                        <c:v>20</c:v>
                      </c:pt>
                      <c:pt idx="10">
                        <c:v>21</c:v>
                      </c:pt>
                      <c:pt idx="11">
                        <c:v>20</c:v>
                      </c:pt>
                      <c:pt idx="12">
                        <c:v>22</c:v>
                      </c:pt>
                      <c:pt idx="13">
                        <c:v>22</c:v>
                      </c:pt>
                      <c:pt idx="14">
                        <c:v>21</c:v>
                      </c:pt>
                      <c:pt idx="15">
                        <c:v>22</c:v>
                      </c:pt>
                      <c:pt idx="17">
                        <c:v>22</c:v>
                      </c:pt>
                      <c:pt idx="18">
                        <c:v>22</c:v>
                      </c:pt>
                      <c:pt idx="19">
                        <c:v>21</c:v>
                      </c:pt>
                      <c:pt idx="20">
                        <c:v>22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21</c:v>
                      </c:pt>
                      <c:pt idx="25">
                        <c:v>23</c:v>
                      </c:pt>
                      <c:pt idx="26">
                        <c:v>23</c:v>
                      </c:pt>
                      <c:pt idx="27">
                        <c:v>22</c:v>
                      </c:pt>
                      <c:pt idx="28">
                        <c:v>24</c:v>
                      </c:pt>
                      <c:pt idx="29">
                        <c:v>22</c:v>
                      </c:pt>
                      <c:pt idx="30">
                        <c:v>23</c:v>
                      </c:pt>
                      <c:pt idx="31">
                        <c:v>23</c:v>
                      </c:pt>
                      <c:pt idx="33">
                        <c:v>23</c:v>
                      </c:pt>
                      <c:pt idx="34">
                        <c:v>24</c:v>
                      </c:pt>
                      <c:pt idx="35">
                        <c:v>24</c:v>
                      </c:pt>
                      <c:pt idx="36">
                        <c:v>25</c:v>
                      </c:pt>
                      <c:pt idx="37">
                        <c:v>25</c:v>
                      </c:pt>
                      <c:pt idx="38">
                        <c:v>25</c:v>
                      </c:pt>
                      <c:pt idx="39">
                        <c:v>25</c:v>
                      </c:pt>
                      <c:pt idx="40">
                        <c:v>24</c:v>
                      </c:pt>
                      <c:pt idx="41">
                        <c:v>24</c:v>
                      </c:pt>
                      <c:pt idx="42">
                        <c:v>24</c:v>
                      </c:pt>
                      <c:pt idx="43">
                        <c:v>26</c:v>
                      </c:pt>
                      <c:pt idx="44">
                        <c:v>26</c:v>
                      </c:pt>
                      <c:pt idx="47">
                        <c:v>26</c:v>
                      </c:pt>
                      <c:pt idx="48">
                        <c:v>27</c:v>
                      </c:pt>
                      <c:pt idx="50">
                        <c:v>27</c:v>
                      </c:pt>
                      <c:pt idx="52">
                        <c:v>29</c:v>
                      </c:pt>
                      <c:pt idx="53">
                        <c:v>28</c:v>
                      </c:pt>
                      <c:pt idx="54">
                        <c:v>30</c:v>
                      </c:pt>
                      <c:pt idx="55">
                        <c:v>30</c:v>
                      </c:pt>
                      <c:pt idx="56">
                        <c:v>30</c:v>
                      </c:pt>
                      <c:pt idx="57">
                        <c:v>31</c:v>
                      </c:pt>
                      <c:pt idx="58">
                        <c:v>31</c:v>
                      </c:pt>
                      <c:pt idx="59">
                        <c:v>32</c:v>
                      </c:pt>
                      <c:pt idx="60">
                        <c:v>32</c:v>
                      </c:pt>
                      <c:pt idx="61">
                        <c:v>33</c:v>
                      </c:pt>
                      <c:pt idx="62">
                        <c:v>33</c:v>
                      </c:pt>
                      <c:pt idx="63">
                        <c:v>35</c:v>
                      </c:pt>
                      <c:pt idx="64">
                        <c:v>35</c:v>
                      </c:pt>
                      <c:pt idx="65">
                        <c:v>35</c:v>
                      </c:pt>
                      <c:pt idx="66">
                        <c:v>37</c:v>
                      </c:pt>
                      <c:pt idx="67">
                        <c:v>39</c:v>
                      </c:pt>
                      <c:pt idx="68">
                        <c:v>37</c:v>
                      </c:pt>
                      <c:pt idx="69">
                        <c:v>41</c:v>
                      </c:pt>
                      <c:pt idx="70">
                        <c:v>38</c:v>
                      </c:pt>
                      <c:pt idx="71">
                        <c:v>38</c:v>
                      </c:pt>
                      <c:pt idx="72">
                        <c:v>40</c:v>
                      </c:pt>
                      <c:pt idx="73">
                        <c:v>43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B5E-48F7-BA81-D4C295BB6149}"/>
                  </c:ext>
                </c:extLst>
              </c15:ser>
            </c15:filteredScatterSeries>
          </c:ext>
        </c:extLst>
      </c:scatterChart>
      <c:valAx>
        <c:axId val="164244432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Sample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087248"/>
        <c:crosses val="autoZero"/>
        <c:crossBetween val="midCat"/>
      </c:valAx>
      <c:valAx>
        <c:axId val="39908724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Blowback</a:t>
                </a:r>
                <a:r>
                  <a:rPr lang="en-US" sz="1800" baseline="0"/>
                  <a:t> Time (ms)</a:t>
                </a:r>
                <a:endParaRPr lang="en-US" sz="1800"/>
              </a:p>
            </c:rich>
          </c:tx>
          <c:layout>
            <c:manualLayout>
              <c:xMode val="edge"/>
              <c:yMode val="edge"/>
              <c:x val="2.950310188499165E-2"/>
              <c:y val="0.395792485398784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44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658180824111185"/>
          <c:y val="0.31115534838495629"/>
          <c:w val="3.0372095876616649E-2"/>
          <c:h val="3.12068758395491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3200">
                <a:solidFill>
                  <a:schemeClr val="bg1">
                    <a:lumMod val="95000"/>
                  </a:schemeClr>
                </a:solidFill>
              </a:rPr>
              <a:t>Blowback Time - 12g/18g</a:t>
            </a:r>
            <a:r>
              <a:rPr lang="en-US" sz="3200" baseline="0">
                <a:solidFill>
                  <a:schemeClr val="bg1">
                    <a:lumMod val="95000"/>
                  </a:schemeClr>
                </a:solidFill>
              </a:rPr>
              <a:t> CO2 vs Propane</a:t>
            </a:r>
            <a:endParaRPr lang="en-US" sz="3200">
              <a:solidFill>
                <a:schemeClr val="bg1">
                  <a:lumMod val="95000"/>
                </a:schemeClr>
              </a:solidFill>
            </a:endParaRPr>
          </a:p>
        </c:rich>
      </c:tx>
      <c:layout>
        <c:manualLayout>
          <c:xMode val="edge"/>
          <c:yMode val="edge"/>
          <c:x val="1.3245303568296023E-2"/>
          <c:y val="1.78989214788272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96667437435855E-2"/>
          <c:y val="0.18994101370555763"/>
          <c:w val="0.73101112747305352"/>
          <c:h val="0.70711003121111415"/>
        </c:manualLayout>
      </c:layout>
      <c:scatterChart>
        <c:scatterStyle val="lineMarker"/>
        <c:varyColors val="0"/>
        <c:ser>
          <c:idx val="0"/>
          <c:order val="0"/>
          <c:tx>
            <c:v>12g CO2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5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yVal>
            <c:numRef>
              <c:f>'12g_CO2_AVG''s'!$G$5:$G$80</c:f>
              <c:numCache>
                <c:formatCode>General</c:formatCode>
                <c:ptCount val="76"/>
                <c:pt idx="0">
                  <c:v>19.666666666666668</c:v>
                </c:pt>
                <c:pt idx="1">
                  <c:v>20.333333333333332</c:v>
                </c:pt>
                <c:pt idx="2">
                  <c:v>20.333333333333332</c:v>
                </c:pt>
                <c:pt idx="3">
                  <c:v>20.333333333333332</c:v>
                </c:pt>
                <c:pt idx="4">
                  <c:v>22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21.333333333333332</c:v>
                </c:pt>
                <c:pt idx="10">
                  <c:v>21.666666666666668</c:v>
                </c:pt>
                <c:pt idx="11">
                  <c:v>21.333333333333332</c:v>
                </c:pt>
                <c:pt idx="12">
                  <c:v>21.666666666666668</c:v>
                </c:pt>
                <c:pt idx="13">
                  <c:v>22</c:v>
                </c:pt>
                <c:pt idx="14">
                  <c:v>21.666666666666668</c:v>
                </c:pt>
                <c:pt idx="15">
                  <c:v>22</c:v>
                </c:pt>
                <c:pt idx="16">
                  <c:v>22</c:v>
                </c:pt>
                <c:pt idx="17">
                  <c:v>22.666666666666668</c:v>
                </c:pt>
                <c:pt idx="18">
                  <c:v>22.5</c:v>
                </c:pt>
                <c:pt idx="19">
                  <c:v>22</c:v>
                </c:pt>
                <c:pt idx="20">
                  <c:v>23</c:v>
                </c:pt>
                <c:pt idx="21">
                  <c:v>22.5</c:v>
                </c:pt>
                <c:pt idx="22">
                  <c:v>23</c:v>
                </c:pt>
                <c:pt idx="23">
                  <c:v>22.333333333333332</c:v>
                </c:pt>
                <c:pt idx="24">
                  <c:v>23</c:v>
                </c:pt>
                <c:pt idx="25">
                  <c:v>23.5</c:v>
                </c:pt>
                <c:pt idx="26">
                  <c:v>23.333333333333332</c:v>
                </c:pt>
                <c:pt idx="27">
                  <c:v>23.333333333333332</c:v>
                </c:pt>
                <c:pt idx="28">
                  <c:v>24</c:v>
                </c:pt>
                <c:pt idx="29">
                  <c:v>23.333333333333332</c:v>
                </c:pt>
                <c:pt idx="30">
                  <c:v>23.666666666666668</c:v>
                </c:pt>
                <c:pt idx="31">
                  <c:v>24.333333333333332</c:v>
                </c:pt>
                <c:pt idx="32">
                  <c:v>24</c:v>
                </c:pt>
                <c:pt idx="33">
                  <c:v>23.5</c:v>
                </c:pt>
                <c:pt idx="34">
                  <c:v>24.666666666666668</c:v>
                </c:pt>
                <c:pt idx="35">
                  <c:v>24.333333333333332</c:v>
                </c:pt>
                <c:pt idx="36">
                  <c:v>25.333333333333332</c:v>
                </c:pt>
                <c:pt idx="37">
                  <c:v>25.333333333333332</c:v>
                </c:pt>
                <c:pt idx="38">
                  <c:v>24.666666666666668</c:v>
                </c:pt>
                <c:pt idx="39">
                  <c:v>25.666666666666668</c:v>
                </c:pt>
                <c:pt idx="40">
                  <c:v>25</c:v>
                </c:pt>
                <c:pt idx="41">
                  <c:v>24.666666666666668</c:v>
                </c:pt>
                <c:pt idx="42">
                  <c:v>25.333333333333332</c:v>
                </c:pt>
                <c:pt idx="43">
                  <c:v>25</c:v>
                </c:pt>
                <c:pt idx="44">
                  <c:v>25</c:v>
                </c:pt>
                <c:pt idx="45">
                  <c:v>25.5</c:v>
                </c:pt>
                <c:pt idx="46">
                  <c:v>25.5</c:v>
                </c:pt>
                <c:pt idx="47">
                  <c:v>26.333333333333332</c:v>
                </c:pt>
                <c:pt idx="48">
                  <c:v>26.666666666666668</c:v>
                </c:pt>
                <c:pt idx="49">
                  <c:v>26</c:v>
                </c:pt>
                <c:pt idx="50">
                  <c:v>27</c:v>
                </c:pt>
                <c:pt idx="51">
                  <c:v>27</c:v>
                </c:pt>
                <c:pt idx="52">
                  <c:v>28</c:v>
                </c:pt>
                <c:pt idx="53">
                  <c:v>27.333333333333332</c:v>
                </c:pt>
                <c:pt idx="54">
                  <c:v>28</c:v>
                </c:pt>
                <c:pt idx="55">
                  <c:v>28.666666666666668</c:v>
                </c:pt>
                <c:pt idx="56">
                  <c:v>28.333333333333332</c:v>
                </c:pt>
                <c:pt idx="57">
                  <c:v>29</c:v>
                </c:pt>
                <c:pt idx="58">
                  <c:v>30</c:v>
                </c:pt>
                <c:pt idx="59">
                  <c:v>29.666666666666668</c:v>
                </c:pt>
                <c:pt idx="60">
                  <c:v>30.666666666666668</c:v>
                </c:pt>
                <c:pt idx="61">
                  <c:v>31</c:v>
                </c:pt>
                <c:pt idx="62">
                  <c:v>31</c:v>
                </c:pt>
                <c:pt idx="63">
                  <c:v>32.666666666666664</c:v>
                </c:pt>
                <c:pt idx="64">
                  <c:v>32.666666666666664</c:v>
                </c:pt>
                <c:pt idx="65">
                  <c:v>33</c:v>
                </c:pt>
                <c:pt idx="66">
                  <c:v>34</c:v>
                </c:pt>
                <c:pt idx="67">
                  <c:v>34.333333333333336</c:v>
                </c:pt>
                <c:pt idx="68">
                  <c:v>35.666666666666664</c:v>
                </c:pt>
                <c:pt idx="69">
                  <c:v>37.333333333333336</c:v>
                </c:pt>
                <c:pt idx="70">
                  <c:v>37</c:v>
                </c:pt>
                <c:pt idx="71">
                  <c:v>37.333333333333336</c:v>
                </c:pt>
                <c:pt idx="72">
                  <c:v>38.666666666666664</c:v>
                </c:pt>
                <c:pt idx="73">
                  <c:v>39.666666666666664</c:v>
                </c:pt>
                <c:pt idx="74">
                  <c:v>39</c:v>
                </c:pt>
                <c:pt idx="75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B14-4910-80CB-01207AC75DE7}"/>
            </c:ext>
          </c:extLst>
        </c:ser>
        <c:ser>
          <c:idx val="1"/>
          <c:order val="1"/>
          <c:tx>
            <c:v>18g CO2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yVal>
            <c:numRef>
              <c:f>'18g_CO2_AVG''s'!$G$5:$G$102</c:f>
              <c:numCache>
                <c:formatCode>General</c:formatCode>
                <c:ptCount val="98"/>
                <c:pt idx="0">
                  <c:v>20.666666666666668</c:v>
                </c:pt>
                <c:pt idx="1">
                  <c:v>21</c:v>
                </c:pt>
                <c:pt idx="2">
                  <c:v>21.333333333333332</c:v>
                </c:pt>
                <c:pt idx="3">
                  <c:v>20.666666666666668</c:v>
                </c:pt>
                <c:pt idx="4">
                  <c:v>21</c:v>
                </c:pt>
                <c:pt idx="5">
                  <c:v>21.333333333333332</c:v>
                </c:pt>
                <c:pt idx="6">
                  <c:v>22.333333333333332</c:v>
                </c:pt>
                <c:pt idx="7">
                  <c:v>21.333333333333332</c:v>
                </c:pt>
                <c:pt idx="8">
                  <c:v>21.333333333333332</c:v>
                </c:pt>
                <c:pt idx="9">
                  <c:v>20.666666666666668</c:v>
                </c:pt>
                <c:pt idx="10">
                  <c:v>22</c:v>
                </c:pt>
                <c:pt idx="11">
                  <c:v>21.666666666666668</c:v>
                </c:pt>
                <c:pt idx="12">
                  <c:v>21.333333333333332</c:v>
                </c:pt>
                <c:pt idx="13">
                  <c:v>22.5</c:v>
                </c:pt>
                <c:pt idx="14">
                  <c:v>21.666666666666668</c:v>
                </c:pt>
                <c:pt idx="15">
                  <c:v>20.5</c:v>
                </c:pt>
                <c:pt idx="16">
                  <c:v>21.333333333333332</c:v>
                </c:pt>
                <c:pt idx="17">
                  <c:v>22</c:v>
                </c:pt>
                <c:pt idx="18">
                  <c:v>21.666666666666668</c:v>
                </c:pt>
                <c:pt idx="19">
                  <c:v>22.333333333333332</c:v>
                </c:pt>
                <c:pt idx="20">
                  <c:v>22</c:v>
                </c:pt>
                <c:pt idx="21">
                  <c:v>22</c:v>
                </c:pt>
                <c:pt idx="22">
                  <c:v>21.666666666666668</c:v>
                </c:pt>
                <c:pt idx="23">
                  <c:v>22</c:v>
                </c:pt>
                <c:pt idx="24">
                  <c:v>22.333333333333332</c:v>
                </c:pt>
                <c:pt idx="25">
                  <c:v>22</c:v>
                </c:pt>
                <c:pt idx="26">
                  <c:v>22</c:v>
                </c:pt>
                <c:pt idx="27">
                  <c:v>22</c:v>
                </c:pt>
                <c:pt idx="28">
                  <c:v>22.666666666666668</c:v>
                </c:pt>
                <c:pt idx="29">
                  <c:v>22.666666666666668</c:v>
                </c:pt>
                <c:pt idx="30">
                  <c:v>22.333333333333332</c:v>
                </c:pt>
                <c:pt idx="31">
                  <c:v>22.666666666666668</c:v>
                </c:pt>
                <c:pt idx="32">
                  <c:v>22.666666666666668</c:v>
                </c:pt>
                <c:pt idx="33">
                  <c:v>23.333333333333332</c:v>
                </c:pt>
                <c:pt idx="34">
                  <c:v>23</c:v>
                </c:pt>
                <c:pt idx="35">
                  <c:v>22.666666666666668</c:v>
                </c:pt>
                <c:pt idx="36">
                  <c:v>23.333333333333332</c:v>
                </c:pt>
                <c:pt idx="37">
                  <c:v>23.333333333333332</c:v>
                </c:pt>
                <c:pt idx="38">
                  <c:v>23.666666666666668</c:v>
                </c:pt>
                <c:pt idx="39">
                  <c:v>24</c:v>
                </c:pt>
                <c:pt idx="40">
                  <c:v>23.666666666666668</c:v>
                </c:pt>
                <c:pt idx="41">
                  <c:v>23.666666666666668</c:v>
                </c:pt>
                <c:pt idx="42">
                  <c:v>24.5</c:v>
                </c:pt>
                <c:pt idx="43">
                  <c:v>24.333333333333332</c:v>
                </c:pt>
                <c:pt idx="44">
                  <c:v>25</c:v>
                </c:pt>
                <c:pt idx="45">
                  <c:v>24.666666666666668</c:v>
                </c:pt>
                <c:pt idx="46">
                  <c:v>25</c:v>
                </c:pt>
                <c:pt idx="47">
                  <c:v>25</c:v>
                </c:pt>
                <c:pt idx="48">
                  <c:v>24.666666666666668</c:v>
                </c:pt>
                <c:pt idx="49">
                  <c:v>24.333333333333332</c:v>
                </c:pt>
                <c:pt idx="50">
                  <c:v>25.333333333333332</c:v>
                </c:pt>
                <c:pt idx="51">
                  <c:v>24.666666666666668</c:v>
                </c:pt>
                <c:pt idx="52">
                  <c:v>25.666666666666668</c:v>
                </c:pt>
                <c:pt idx="53">
                  <c:v>25.333333333333332</c:v>
                </c:pt>
                <c:pt idx="54">
                  <c:v>25.666666666666668</c:v>
                </c:pt>
                <c:pt idx="55">
                  <c:v>26</c:v>
                </c:pt>
                <c:pt idx="56">
                  <c:v>25.5</c:v>
                </c:pt>
                <c:pt idx="57">
                  <c:v>25.666666666666668</c:v>
                </c:pt>
                <c:pt idx="58">
                  <c:v>26.5</c:v>
                </c:pt>
                <c:pt idx="59">
                  <c:v>26</c:v>
                </c:pt>
                <c:pt idx="60">
                  <c:v>27</c:v>
                </c:pt>
                <c:pt idx="61">
                  <c:v>26.5</c:v>
                </c:pt>
                <c:pt idx="62">
                  <c:v>26.333333333333332</c:v>
                </c:pt>
                <c:pt idx="63">
                  <c:v>27</c:v>
                </c:pt>
                <c:pt idx="64">
                  <c:v>27</c:v>
                </c:pt>
                <c:pt idx="65">
                  <c:v>27.333333333333332</c:v>
                </c:pt>
                <c:pt idx="66">
                  <c:v>28</c:v>
                </c:pt>
                <c:pt idx="67">
                  <c:v>27</c:v>
                </c:pt>
                <c:pt idx="68">
                  <c:v>27.333333333333332</c:v>
                </c:pt>
                <c:pt idx="69">
                  <c:v>28.333333333333332</c:v>
                </c:pt>
                <c:pt idx="70">
                  <c:v>27</c:v>
                </c:pt>
                <c:pt idx="71">
                  <c:v>28</c:v>
                </c:pt>
                <c:pt idx="72">
                  <c:v>29</c:v>
                </c:pt>
                <c:pt idx="73">
                  <c:v>29.333333333333332</c:v>
                </c:pt>
                <c:pt idx="74">
                  <c:v>29.666666666666668</c:v>
                </c:pt>
                <c:pt idx="75">
                  <c:v>29.333333333333332</c:v>
                </c:pt>
                <c:pt idx="76">
                  <c:v>30.333333333333332</c:v>
                </c:pt>
                <c:pt idx="77">
                  <c:v>30.666666666666668</c:v>
                </c:pt>
                <c:pt idx="78">
                  <c:v>30.666666666666668</c:v>
                </c:pt>
                <c:pt idx="79">
                  <c:v>31.666666666666668</c:v>
                </c:pt>
                <c:pt idx="80">
                  <c:v>30.666666666666668</c:v>
                </c:pt>
                <c:pt idx="81">
                  <c:v>30.666666666666668</c:v>
                </c:pt>
                <c:pt idx="82">
                  <c:v>32</c:v>
                </c:pt>
                <c:pt idx="83">
                  <c:v>32.333333333333336</c:v>
                </c:pt>
                <c:pt idx="84">
                  <c:v>33</c:v>
                </c:pt>
                <c:pt idx="85">
                  <c:v>34</c:v>
                </c:pt>
                <c:pt idx="86">
                  <c:v>34.333333333333336</c:v>
                </c:pt>
                <c:pt idx="87">
                  <c:v>35</c:v>
                </c:pt>
                <c:pt idx="88">
                  <c:v>36</c:v>
                </c:pt>
                <c:pt idx="89">
                  <c:v>36.333333333333336</c:v>
                </c:pt>
                <c:pt idx="90">
                  <c:v>36.666666666666664</c:v>
                </c:pt>
                <c:pt idx="91">
                  <c:v>38</c:v>
                </c:pt>
                <c:pt idx="92">
                  <c:v>37.666666666666664</c:v>
                </c:pt>
                <c:pt idx="93">
                  <c:v>38.666666666666664</c:v>
                </c:pt>
                <c:pt idx="94">
                  <c:v>43</c:v>
                </c:pt>
                <c:pt idx="95">
                  <c:v>40.666666666666664</c:v>
                </c:pt>
                <c:pt idx="96">
                  <c:v>41.5</c:v>
                </c:pt>
                <c:pt idx="97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B14-4910-80CB-01207AC75DE7}"/>
            </c:ext>
          </c:extLst>
        </c:ser>
        <c:ser>
          <c:idx val="2"/>
          <c:order val="2"/>
          <c:tx>
            <c:v>12g CO2 Cold First 50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trendline>
            <c:spPr>
              <a:ln w="19050" cap="rnd">
                <a:solidFill>
                  <a:schemeClr val="bg1">
                    <a:lumMod val="85000"/>
                  </a:schemeClr>
                </a:solidFill>
                <a:prstDash val="sysDash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6.6611088620477611E-3"/>
                  <c:y val="-3.77452032309703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yVal>
            <c:numRef>
              <c:f>'12g_CO2_AVG''s'!$G$5:$G$54</c:f>
              <c:numCache>
                <c:formatCode>General</c:formatCode>
                <c:ptCount val="50"/>
                <c:pt idx="0">
                  <c:v>19.666666666666668</c:v>
                </c:pt>
                <c:pt idx="1">
                  <c:v>20.333333333333332</c:v>
                </c:pt>
                <c:pt idx="2">
                  <c:v>20.333333333333332</c:v>
                </c:pt>
                <c:pt idx="3">
                  <c:v>20.333333333333332</c:v>
                </c:pt>
                <c:pt idx="4">
                  <c:v>22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21.333333333333332</c:v>
                </c:pt>
                <c:pt idx="10">
                  <c:v>21.666666666666668</c:v>
                </c:pt>
                <c:pt idx="11">
                  <c:v>21.333333333333332</c:v>
                </c:pt>
                <c:pt idx="12">
                  <c:v>21.666666666666668</c:v>
                </c:pt>
                <c:pt idx="13">
                  <c:v>22</c:v>
                </c:pt>
                <c:pt idx="14">
                  <c:v>21.666666666666668</c:v>
                </c:pt>
                <c:pt idx="15">
                  <c:v>22</c:v>
                </c:pt>
                <c:pt idx="16">
                  <c:v>22</c:v>
                </c:pt>
                <c:pt idx="17">
                  <c:v>22.666666666666668</c:v>
                </c:pt>
                <c:pt idx="18">
                  <c:v>22.5</c:v>
                </c:pt>
                <c:pt idx="19">
                  <c:v>22</c:v>
                </c:pt>
                <c:pt idx="20">
                  <c:v>23</c:v>
                </c:pt>
                <c:pt idx="21">
                  <c:v>22.5</c:v>
                </c:pt>
                <c:pt idx="22">
                  <c:v>23</c:v>
                </c:pt>
                <c:pt idx="23">
                  <c:v>22.333333333333332</c:v>
                </c:pt>
                <c:pt idx="24">
                  <c:v>23</c:v>
                </c:pt>
                <c:pt idx="25">
                  <c:v>23.5</c:v>
                </c:pt>
                <c:pt idx="26">
                  <c:v>23.333333333333332</c:v>
                </c:pt>
                <c:pt idx="27">
                  <c:v>23.333333333333332</c:v>
                </c:pt>
                <c:pt idx="28">
                  <c:v>24</c:v>
                </c:pt>
                <c:pt idx="29">
                  <c:v>23.333333333333332</c:v>
                </c:pt>
                <c:pt idx="30">
                  <c:v>23.666666666666668</c:v>
                </c:pt>
                <c:pt idx="31">
                  <c:v>24.333333333333332</c:v>
                </c:pt>
                <c:pt idx="32">
                  <c:v>24</c:v>
                </c:pt>
                <c:pt idx="33">
                  <c:v>23.5</c:v>
                </c:pt>
                <c:pt idx="34">
                  <c:v>24.666666666666668</c:v>
                </c:pt>
                <c:pt idx="35">
                  <c:v>24.333333333333332</c:v>
                </c:pt>
                <c:pt idx="36">
                  <c:v>25.333333333333332</c:v>
                </c:pt>
                <c:pt idx="37">
                  <c:v>25.333333333333332</c:v>
                </c:pt>
                <c:pt idx="38">
                  <c:v>24.666666666666668</c:v>
                </c:pt>
                <c:pt idx="39">
                  <c:v>25.666666666666668</c:v>
                </c:pt>
                <c:pt idx="40">
                  <c:v>25</c:v>
                </c:pt>
                <c:pt idx="41">
                  <c:v>24.666666666666668</c:v>
                </c:pt>
                <c:pt idx="42">
                  <c:v>25.333333333333332</c:v>
                </c:pt>
                <c:pt idx="43">
                  <c:v>25</c:v>
                </c:pt>
                <c:pt idx="44">
                  <c:v>25</c:v>
                </c:pt>
                <c:pt idx="45">
                  <c:v>25.5</c:v>
                </c:pt>
                <c:pt idx="46">
                  <c:v>25.5</c:v>
                </c:pt>
                <c:pt idx="47">
                  <c:v>26.333333333333332</c:v>
                </c:pt>
                <c:pt idx="48">
                  <c:v>26.666666666666668</c:v>
                </c:pt>
                <c:pt idx="49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B14-4910-80CB-01207AC75DE7}"/>
            </c:ext>
          </c:extLst>
        </c:ser>
        <c:ser>
          <c:idx val="3"/>
          <c:order val="3"/>
          <c:tx>
            <c:v>18g CO2 Cold First 50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trendline>
            <c:spPr>
              <a:ln w="19050" cap="rnd">
                <a:solidFill>
                  <a:schemeClr val="bg1">
                    <a:lumMod val="85000"/>
                  </a:schemeClr>
                </a:solidFill>
                <a:prstDash val="sysDash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3.528282878451626E-2"/>
                  <c:y val="4.940311815808346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yVal>
            <c:numRef>
              <c:f>'18g_CO2_AVG''s'!$G$5:$G$54</c:f>
              <c:numCache>
                <c:formatCode>General</c:formatCode>
                <c:ptCount val="50"/>
                <c:pt idx="0">
                  <c:v>20.666666666666668</c:v>
                </c:pt>
                <c:pt idx="1">
                  <c:v>21</c:v>
                </c:pt>
                <c:pt idx="2">
                  <c:v>21.333333333333332</c:v>
                </c:pt>
                <c:pt idx="3">
                  <c:v>20.666666666666668</c:v>
                </c:pt>
                <c:pt idx="4">
                  <c:v>21</c:v>
                </c:pt>
                <c:pt idx="5">
                  <c:v>21.333333333333332</c:v>
                </c:pt>
                <c:pt idx="6">
                  <c:v>22.333333333333332</c:v>
                </c:pt>
                <c:pt idx="7">
                  <c:v>21.333333333333332</c:v>
                </c:pt>
                <c:pt idx="8">
                  <c:v>21.333333333333332</c:v>
                </c:pt>
                <c:pt idx="9">
                  <c:v>20.666666666666668</c:v>
                </c:pt>
                <c:pt idx="10">
                  <c:v>22</c:v>
                </c:pt>
                <c:pt idx="11">
                  <c:v>21.666666666666668</c:v>
                </c:pt>
                <c:pt idx="12">
                  <c:v>21.333333333333332</c:v>
                </c:pt>
                <c:pt idx="13">
                  <c:v>22.5</c:v>
                </c:pt>
                <c:pt idx="14">
                  <c:v>21.666666666666668</c:v>
                </c:pt>
                <c:pt idx="15">
                  <c:v>20.5</c:v>
                </c:pt>
                <c:pt idx="16">
                  <c:v>21.333333333333332</c:v>
                </c:pt>
                <c:pt idx="17">
                  <c:v>22</c:v>
                </c:pt>
                <c:pt idx="18">
                  <c:v>21.666666666666668</c:v>
                </c:pt>
                <c:pt idx="19">
                  <c:v>22.333333333333332</c:v>
                </c:pt>
                <c:pt idx="20">
                  <c:v>22</c:v>
                </c:pt>
                <c:pt idx="21">
                  <c:v>22</c:v>
                </c:pt>
                <c:pt idx="22">
                  <c:v>21.666666666666668</c:v>
                </c:pt>
                <c:pt idx="23">
                  <c:v>22</c:v>
                </c:pt>
                <c:pt idx="24">
                  <c:v>22.333333333333332</c:v>
                </c:pt>
                <c:pt idx="25">
                  <c:v>22</c:v>
                </c:pt>
                <c:pt idx="26">
                  <c:v>22</c:v>
                </c:pt>
                <c:pt idx="27">
                  <c:v>22</c:v>
                </c:pt>
                <c:pt idx="28">
                  <c:v>22.666666666666668</c:v>
                </c:pt>
                <c:pt idx="29">
                  <c:v>22.666666666666668</c:v>
                </c:pt>
                <c:pt idx="30">
                  <c:v>22.333333333333332</c:v>
                </c:pt>
                <c:pt idx="31">
                  <c:v>22.666666666666668</c:v>
                </c:pt>
                <c:pt idx="32">
                  <c:v>22.666666666666668</c:v>
                </c:pt>
                <c:pt idx="33">
                  <c:v>23.333333333333332</c:v>
                </c:pt>
                <c:pt idx="34">
                  <c:v>23</c:v>
                </c:pt>
                <c:pt idx="35">
                  <c:v>22.666666666666668</c:v>
                </c:pt>
                <c:pt idx="36">
                  <c:v>23.333333333333332</c:v>
                </c:pt>
                <c:pt idx="37">
                  <c:v>23.333333333333332</c:v>
                </c:pt>
                <c:pt idx="38">
                  <c:v>23.666666666666668</c:v>
                </c:pt>
                <c:pt idx="39">
                  <c:v>24</c:v>
                </c:pt>
                <c:pt idx="40">
                  <c:v>23.666666666666668</c:v>
                </c:pt>
                <c:pt idx="41">
                  <c:v>23.666666666666668</c:v>
                </c:pt>
                <c:pt idx="42">
                  <c:v>24.5</c:v>
                </c:pt>
                <c:pt idx="43">
                  <c:v>24.333333333333332</c:v>
                </c:pt>
                <c:pt idx="44">
                  <c:v>25</c:v>
                </c:pt>
                <c:pt idx="45">
                  <c:v>24.666666666666668</c:v>
                </c:pt>
                <c:pt idx="46">
                  <c:v>25</c:v>
                </c:pt>
                <c:pt idx="47">
                  <c:v>25</c:v>
                </c:pt>
                <c:pt idx="48">
                  <c:v>24.666666666666668</c:v>
                </c:pt>
                <c:pt idx="49">
                  <c:v>24.333333333333332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B14-4910-80CB-01207AC75DE7}"/>
            </c:ext>
          </c:extLst>
        </c:ser>
        <c:ser>
          <c:idx val="4"/>
          <c:order val="4"/>
          <c:tx>
            <c:v>12g Propane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6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yVal>
            <c:numRef>
              <c:f>'12g_Propane_AVG''s'!$G$5:$G$41</c:f>
              <c:numCache>
                <c:formatCode>General</c:formatCode>
                <c:ptCount val="37"/>
                <c:pt idx="0">
                  <c:v>28.333333333333332</c:v>
                </c:pt>
                <c:pt idx="1">
                  <c:v>30</c:v>
                </c:pt>
                <c:pt idx="2">
                  <c:v>29</c:v>
                </c:pt>
                <c:pt idx="3">
                  <c:v>29.333333333333332</c:v>
                </c:pt>
                <c:pt idx="4">
                  <c:v>29.5</c:v>
                </c:pt>
                <c:pt idx="5">
                  <c:v>29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31</c:v>
                </c:pt>
                <c:pt idx="11">
                  <c:v>31.666666666666668</c:v>
                </c:pt>
                <c:pt idx="12">
                  <c:v>31</c:v>
                </c:pt>
                <c:pt idx="13">
                  <c:v>31</c:v>
                </c:pt>
                <c:pt idx="14">
                  <c:v>32</c:v>
                </c:pt>
                <c:pt idx="15">
                  <c:v>31.666666666666668</c:v>
                </c:pt>
                <c:pt idx="16">
                  <c:v>32.666666666666664</c:v>
                </c:pt>
                <c:pt idx="17">
                  <c:v>32.666666666666664</c:v>
                </c:pt>
                <c:pt idx="18">
                  <c:v>32.333333333333336</c:v>
                </c:pt>
                <c:pt idx="19">
                  <c:v>33</c:v>
                </c:pt>
                <c:pt idx="20">
                  <c:v>33</c:v>
                </c:pt>
                <c:pt idx="21">
                  <c:v>34.333333333333336</c:v>
                </c:pt>
                <c:pt idx="22">
                  <c:v>34</c:v>
                </c:pt>
                <c:pt idx="23">
                  <c:v>34.666666666666664</c:v>
                </c:pt>
                <c:pt idx="24">
                  <c:v>35.333333333333336</c:v>
                </c:pt>
                <c:pt idx="25">
                  <c:v>35.333333333333336</c:v>
                </c:pt>
                <c:pt idx="26">
                  <c:v>35.333333333333336</c:v>
                </c:pt>
                <c:pt idx="27">
                  <c:v>36.333333333333336</c:v>
                </c:pt>
                <c:pt idx="28">
                  <c:v>37</c:v>
                </c:pt>
                <c:pt idx="29">
                  <c:v>37.666666666666664</c:v>
                </c:pt>
                <c:pt idx="30">
                  <c:v>39</c:v>
                </c:pt>
                <c:pt idx="31">
                  <c:v>39</c:v>
                </c:pt>
                <c:pt idx="32">
                  <c:v>39</c:v>
                </c:pt>
                <c:pt idx="33">
                  <c:v>40.666666666666664</c:v>
                </c:pt>
                <c:pt idx="34">
                  <c:v>41</c:v>
                </c:pt>
                <c:pt idx="35">
                  <c:v>42.5</c:v>
                </c:pt>
                <c:pt idx="36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7E-4A74-B473-8788BAA2CDF1}"/>
            </c:ext>
          </c:extLst>
        </c:ser>
        <c:ser>
          <c:idx val="5"/>
          <c:order val="5"/>
          <c:tx>
            <c:v>12g Propane First 50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trendline>
            <c:spPr>
              <a:ln w="19050" cap="rnd">
                <a:solidFill>
                  <a:schemeClr val="bg1">
                    <a:lumMod val="85000"/>
                  </a:schemeClr>
                </a:solidFill>
                <a:prstDash val="sysDash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1.0489096545112661E-2"/>
                  <c:y val="-1.962695158283474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yVal>
            <c:numRef>
              <c:f>'12g_Propane_AVG''s'!$G$5:$G$34</c:f>
              <c:numCache>
                <c:formatCode>General</c:formatCode>
                <c:ptCount val="30"/>
                <c:pt idx="0">
                  <c:v>28.333333333333332</c:v>
                </c:pt>
                <c:pt idx="1">
                  <c:v>30</c:v>
                </c:pt>
                <c:pt idx="2">
                  <c:v>29</c:v>
                </c:pt>
                <c:pt idx="3">
                  <c:v>29.333333333333332</c:v>
                </c:pt>
                <c:pt idx="4">
                  <c:v>29.5</c:v>
                </c:pt>
                <c:pt idx="5">
                  <c:v>29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31</c:v>
                </c:pt>
                <c:pt idx="11">
                  <c:v>31.666666666666668</c:v>
                </c:pt>
                <c:pt idx="12">
                  <c:v>31</c:v>
                </c:pt>
                <c:pt idx="13">
                  <c:v>31</c:v>
                </c:pt>
                <c:pt idx="14">
                  <c:v>32</c:v>
                </c:pt>
                <c:pt idx="15">
                  <c:v>31.666666666666668</c:v>
                </c:pt>
                <c:pt idx="16">
                  <c:v>32.666666666666664</c:v>
                </c:pt>
                <c:pt idx="17">
                  <c:v>32.666666666666664</c:v>
                </c:pt>
                <c:pt idx="18">
                  <c:v>32.333333333333336</c:v>
                </c:pt>
                <c:pt idx="19">
                  <c:v>33</c:v>
                </c:pt>
                <c:pt idx="20">
                  <c:v>33</c:v>
                </c:pt>
                <c:pt idx="21">
                  <c:v>34.333333333333336</c:v>
                </c:pt>
                <c:pt idx="22">
                  <c:v>34</c:v>
                </c:pt>
                <c:pt idx="23">
                  <c:v>34.666666666666664</c:v>
                </c:pt>
                <c:pt idx="24">
                  <c:v>35.333333333333336</c:v>
                </c:pt>
                <c:pt idx="25">
                  <c:v>35.333333333333336</c:v>
                </c:pt>
                <c:pt idx="26">
                  <c:v>35.333333333333336</c:v>
                </c:pt>
                <c:pt idx="27">
                  <c:v>36.333333333333336</c:v>
                </c:pt>
                <c:pt idx="28">
                  <c:v>37</c:v>
                </c:pt>
                <c:pt idx="29">
                  <c:v>37.666666666666664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67E-4A74-B473-8788BAA2CDF1}"/>
            </c:ext>
          </c:extLst>
        </c:ser>
        <c:ser>
          <c:idx val="6"/>
          <c:order val="6"/>
          <c:tx>
            <c:v>18g Propane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yVal>
            <c:numRef>
              <c:f>'18g_Propane_AVG''s'!$G$5:$G$56</c:f>
              <c:numCache>
                <c:formatCode>General</c:formatCode>
                <c:ptCount val="52"/>
                <c:pt idx="0">
                  <c:v>24</c:v>
                </c:pt>
                <c:pt idx="1">
                  <c:v>25</c:v>
                </c:pt>
                <c:pt idx="2">
                  <c:v>28</c:v>
                </c:pt>
                <c:pt idx="3">
                  <c:v>27.5</c:v>
                </c:pt>
                <c:pt idx="4">
                  <c:v>28.5</c:v>
                </c:pt>
                <c:pt idx="5">
                  <c:v>29.5</c:v>
                </c:pt>
                <c:pt idx="6">
                  <c:v>29</c:v>
                </c:pt>
                <c:pt idx="7">
                  <c:v>29</c:v>
                </c:pt>
                <c:pt idx="8">
                  <c:v>30</c:v>
                </c:pt>
                <c:pt idx="9">
                  <c:v>30</c:v>
                </c:pt>
                <c:pt idx="10">
                  <c:v>31.5</c:v>
                </c:pt>
                <c:pt idx="11">
                  <c:v>30.5</c:v>
                </c:pt>
                <c:pt idx="12">
                  <c:v>31</c:v>
                </c:pt>
                <c:pt idx="13">
                  <c:v>31</c:v>
                </c:pt>
                <c:pt idx="14">
                  <c:v>30.5</c:v>
                </c:pt>
                <c:pt idx="15">
                  <c:v>31</c:v>
                </c:pt>
                <c:pt idx="16">
                  <c:v>30.5</c:v>
                </c:pt>
                <c:pt idx="17">
                  <c:v>30.5</c:v>
                </c:pt>
                <c:pt idx="18">
                  <c:v>31</c:v>
                </c:pt>
                <c:pt idx="19">
                  <c:v>30.5</c:v>
                </c:pt>
                <c:pt idx="20">
                  <c:v>31</c:v>
                </c:pt>
                <c:pt idx="21">
                  <c:v>31</c:v>
                </c:pt>
                <c:pt idx="22">
                  <c:v>31</c:v>
                </c:pt>
                <c:pt idx="23">
                  <c:v>32</c:v>
                </c:pt>
                <c:pt idx="24">
                  <c:v>31.5</c:v>
                </c:pt>
                <c:pt idx="25">
                  <c:v>30</c:v>
                </c:pt>
                <c:pt idx="26">
                  <c:v>32.5</c:v>
                </c:pt>
                <c:pt idx="27">
                  <c:v>32</c:v>
                </c:pt>
                <c:pt idx="28">
                  <c:v>32.5</c:v>
                </c:pt>
                <c:pt idx="29">
                  <c:v>33</c:v>
                </c:pt>
                <c:pt idx="30">
                  <c:v>32.5</c:v>
                </c:pt>
                <c:pt idx="31">
                  <c:v>32</c:v>
                </c:pt>
                <c:pt idx="32">
                  <c:v>32</c:v>
                </c:pt>
                <c:pt idx="33">
                  <c:v>34</c:v>
                </c:pt>
                <c:pt idx="34">
                  <c:v>34.5</c:v>
                </c:pt>
                <c:pt idx="35">
                  <c:v>34.5</c:v>
                </c:pt>
                <c:pt idx="36">
                  <c:v>35.5</c:v>
                </c:pt>
                <c:pt idx="37">
                  <c:v>35.5</c:v>
                </c:pt>
                <c:pt idx="38">
                  <c:v>35</c:v>
                </c:pt>
                <c:pt idx="39">
                  <c:v>36</c:v>
                </c:pt>
                <c:pt idx="40">
                  <c:v>37</c:v>
                </c:pt>
                <c:pt idx="41">
                  <c:v>37</c:v>
                </c:pt>
                <c:pt idx="42">
                  <c:v>37</c:v>
                </c:pt>
                <c:pt idx="43">
                  <c:v>39</c:v>
                </c:pt>
                <c:pt idx="44">
                  <c:v>37.5</c:v>
                </c:pt>
                <c:pt idx="45">
                  <c:v>39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43</c:v>
                </c:pt>
                <c:pt idx="50">
                  <c:v>44</c:v>
                </c:pt>
                <c:pt idx="51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67E-4A74-B473-8788BAA2CDF1}"/>
            </c:ext>
          </c:extLst>
        </c:ser>
        <c:ser>
          <c:idx val="7"/>
          <c:order val="7"/>
          <c:tx>
            <c:v>18g Propane First 30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trendline>
            <c:spPr>
              <a:ln w="19050" cap="rnd">
                <a:solidFill>
                  <a:schemeClr val="bg1">
                    <a:lumMod val="85000"/>
                  </a:schemeClr>
                </a:solidFill>
                <a:prstDash val="sysDash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0813581553711677E-2"/>
                  <c:y val="6.07952851182839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yVal>
            <c:numRef>
              <c:f>'18g_Propane_AVG''s'!$G$5:$G$34</c:f>
              <c:numCache>
                <c:formatCode>General</c:formatCode>
                <c:ptCount val="30"/>
                <c:pt idx="0">
                  <c:v>24</c:v>
                </c:pt>
                <c:pt idx="1">
                  <c:v>25</c:v>
                </c:pt>
                <c:pt idx="2">
                  <c:v>28</c:v>
                </c:pt>
                <c:pt idx="3">
                  <c:v>27.5</c:v>
                </c:pt>
                <c:pt idx="4">
                  <c:v>28.5</c:v>
                </c:pt>
                <c:pt idx="5">
                  <c:v>29.5</c:v>
                </c:pt>
                <c:pt idx="6">
                  <c:v>29</c:v>
                </c:pt>
                <c:pt idx="7">
                  <c:v>29</c:v>
                </c:pt>
                <c:pt idx="8">
                  <c:v>30</c:v>
                </c:pt>
                <c:pt idx="9">
                  <c:v>30</c:v>
                </c:pt>
                <c:pt idx="10">
                  <c:v>31.5</c:v>
                </c:pt>
                <c:pt idx="11">
                  <c:v>30.5</c:v>
                </c:pt>
                <c:pt idx="12">
                  <c:v>31</c:v>
                </c:pt>
                <c:pt idx="13">
                  <c:v>31</c:v>
                </c:pt>
                <c:pt idx="14">
                  <c:v>30.5</c:v>
                </c:pt>
                <c:pt idx="15">
                  <c:v>31</c:v>
                </c:pt>
                <c:pt idx="16">
                  <c:v>30.5</c:v>
                </c:pt>
                <c:pt idx="17">
                  <c:v>30.5</c:v>
                </c:pt>
                <c:pt idx="18">
                  <c:v>31</c:v>
                </c:pt>
                <c:pt idx="19">
                  <c:v>30.5</c:v>
                </c:pt>
                <c:pt idx="20">
                  <c:v>31</c:v>
                </c:pt>
                <c:pt idx="21">
                  <c:v>31</c:v>
                </c:pt>
                <c:pt idx="22">
                  <c:v>31</c:v>
                </c:pt>
                <c:pt idx="23">
                  <c:v>32</c:v>
                </c:pt>
                <c:pt idx="24">
                  <c:v>31.5</c:v>
                </c:pt>
                <c:pt idx="25">
                  <c:v>30</c:v>
                </c:pt>
                <c:pt idx="26">
                  <c:v>32.5</c:v>
                </c:pt>
                <c:pt idx="27">
                  <c:v>32</c:v>
                </c:pt>
                <c:pt idx="28">
                  <c:v>32.5</c:v>
                </c:pt>
                <c:pt idx="29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67E-4A74-B473-8788BAA2C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44432"/>
        <c:axId val="399087248"/>
      </c:scatterChart>
      <c:valAx>
        <c:axId val="164244432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Shot Number</a:t>
                </a:r>
              </a:p>
            </c:rich>
          </c:tx>
          <c:layout>
            <c:manualLayout>
              <c:xMode val="edge"/>
              <c:yMode val="edge"/>
              <c:x val="0.37812951388924793"/>
              <c:y val="0.932533284570002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087248"/>
        <c:crosses val="autoZero"/>
        <c:crossBetween val="midCat"/>
      </c:valAx>
      <c:valAx>
        <c:axId val="39908724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Blowback Time (ms)</a:t>
                </a:r>
              </a:p>
            </c:rich>
          </c:tx>
          <c:layout>
            <c:manualLayout>
              <c:xMode val="edge"/>
              <c:yMode val="edge"/>
              <c:x val="2.3442457921137194E-2"/>
              <c:y val="0.395792418116909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44432"/>
        <c:crosses val="autoZero"/>
        <c:crossBetween val="midCat"/>
      </c:valAx>
      <c:spPr>
        <a:noFill/>
        <a:ln w="12700">
          <a:solidFill>
            <a:schemeClr val="bg1">
              <a:lumMod val="85000"/>
            </a:schemeClr>
          </a:solidFill>
        </a:ln>
        <a:effectLst/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ayout>
        <c:manualLayout>
          <c:xMode val="edge"/>
          <c:yMode val="edge"/>
          <c:x val="0.85840789856934585"/>
          <c:y val="0.11232706028797017"/>
          <c:w val="0.10532660062423045"/>
          <c:h val="0.712210262416092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86C070-3115-48D1-92A0-99FE4FC2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14228AB-7755-4FB8-99D7-A178937978F7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- Comparing 12g and 18g of CO2 and Propane in 75 or 48F</a:t>
          </a:r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1CA7D31-49B9-4C2B-B976-0BB3C00E6B98}"/>
            </a:ext>
          </a:extLst>
        </xdr:cNvPr>
        <xdr:cNvSpPr txBox="1"/>
      </xdr:nvSpPr>
      <xdr:spPr>
        <a:xfrm>
          <a:off x="10591800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r>
            <a:rPr lang="en-US" sz="1100" baseline="0"/>
            <a:t>Timing based on bolt position not trigger limit switch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tested outside, bench a bit more wobbly than inside bench</a:t>
          </a:r>
          <a:endParaRPr lang="en-US">
            <a:effectLst/>
          </a:endParaRP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gun recently cleaned</a:t>
          </a:r>
          <a:endParaRPr lang="en-US">
            <a:effectLst/>
          </a:endParaRPr>
        </a:p>
        <a:p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1E758B-783C-48CA-8FC6-5A7690FDAF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9D75E18-10E4-4C58-9998-F172C4C0EED2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TRIAL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Comparing 12g and 18g of CO2 and Propane in 75 or 48F</a:t>
          </a:r>
          <a:endParaRPr lang="en-US">
            <a:effectLst/>
          </a:endParaRPr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5BA8660-8ADD-40D5-8D7A-6A1E4A4F1023}"/>
            </a:ext>
          </a:extLst>
        </xdr:cNvPr>
        <xdr:cNvSpPr txBox="1"/>
      </xdr:nvSpPr>
      <xdr:spPr>
        <a:xfrm>
          <a:off x="10591800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Timing based on bolt position not trigger limit switch</a:t>
          </a:r>
          <a:endParaRPr lang="en-US">
            <a:effectLst/>
          </a:endParaRP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tested outside, bench a bit more wobbly than inside bench</a:t>
          </a:r>
          <a:endParaRPr lang="en-US">
            <a:effectLst/>
          </a:endParaRP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gun recently cleaned</a:t>
          </a:r>
          <a:endParaRPr lang="en-US">
            <a:effectLst/>
          </a:endParaRPr>
        </a:p>
        <a:p>
          <a:endParaRPr lang="en-US" sz="11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71818C-3357-4D96-B069-36E0523AB4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E6CC5FF-259A-428A-AA73-985FBB9B8082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TRIAL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Comparing 12g and 18g of CO2 and Propane in 75 or 48F</a:t>
          </a:r>
          <a:endParaRPr lang="en-US">
            <a:effectLst/>
          </a:endParaRPr>
        </a:p>
        <a:p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EF17F0A-1F15-4FED-AA29-06191207EE5D}"/>
            </a:ext>
          </a:extLst>
        </xdr:cNvPr>
        <xdr:cNvSpPr txBox="1"/>
      </xdr:nvSpPr>
      <xdr:spPr>
        <a:xfrm>
          <a:off x="10591800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Timing based on bolt position not trigger limit switch</a:t>
          </a:r>
          <a:endParaRPr lang="en-US">
            <a:effectLst/>
          </a:endParaRP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tested outside, bench a bit more wobbly than inside bench</a:t>
          </a:r>
          <a:endParaRPr lang="en-US">
            <a:effectLst/>
          </a:endParaRP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gun recently cleaned</a:t>
          </a:r>
          <a:endParaRPr lang="en-US">
            <a:effectLst/>
          </a:endParaRPr>
        </a:p>
        <a:p>
          <a:endParaRPr lang="en-US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</xdr:row>
      <xdr:rowOff>0</xdr:rowOff>
    </xdr:from>
    <xdr:to>
      <xdr:col>31</xdr:col>
      <xdr:colOff>333373</xdr:colOff>
      <xdr:row>38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81A0A6-0F57-49C0-B5D9-3F4C31BCB3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AD1F43-7752-4475-8F72-29437234A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A83EEC6-81E7-4CC2-A22C-F5763E4A3E6D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TRIAL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Comparing 12g and 18g of CO2 and Propane in 75 or 48F</a:t>
          </a:r>
          <a:endParaRPr lang="en-US">
            <a:effectLst/>
          </a:endParaRPr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CABF237-E656-4366-9DB1-48EC48A3891B}"/>
            </a:ext>
          </a:extLst>
        </xdr:cNvPr>
        <xdr:cNvSpPr txBox="1"/>
      </xdr:nvSpPr>
      <xdr:spPr>
        <a:xfrm>
          <a:off x="10591800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Timing based on bolt position not trigger limit switch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tested outside, bench a bit more wobbly than inside bench</a:t>
          </a:r>
          <a:endParaRPr lang="en-US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gun recently cleaned</a:t>
          </a:r>
          <a:endParaRPr lang="en-US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effectLst/>
          </a:endParaRPr>
        </a:p>
        <a:p>
          <a:endParaRPr lang="en-US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EC8D32-DCEE-408B-A94D-A64E102DF3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990ACAC-B739-4749-8060-AC49A04964A6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TRIAL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Comparing 12g and 18g of CO2 and Propane in 75 or 48F</a:t>
          </a:r>
          <a:endParaRPr lang="en-US">
            <a:effectLst/>
          </a:endParaRPr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2616F0C-CA41-4FA3-8B93-73A1AF4E856E}"/>
            </a:ext>
          </a:extLst>
        </xdr:cNvPr>
        <xdr:cNvSpPr txBox="1"/>
      </xdr:nvSpPr>
      <xdr:spPr>
        <a:xfrm>
          <a:off x="10591800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Timing based on bolt position not trigger limit switch</a:t>
          </a:r>
          <a:endParaRPr lang="en-US">
            <a:effectLst/>
          </a:endParaRPr>
        </a:p>
        <a:p>
          <a:endParaRPr lang="en-US" sz="1100" baseline="0"/>
        </a:p>
        <a:p>
          <a:r>
            <a:rPr lang="en-US" sz="1100" baseline="0"/>
            <a:t>tested outside, bench a bit more wobbly than inside bench</a:t>
          </a:r>
        </a:p>
        <a:p>
          <a:endParaRPr lang="en-US" sz="1100" baseline="0"/>
        </a:p>
        <a:p>
          <a:r>
            <a:rPr lang="en-US" sz="1100" baseline="0"/>
            <a:t>gun recently cleaned</a:t>
          </a:r>
        </a:p>
        <a:p>
          <a:endParaRPr lang="en-US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0881F0-BB2B-4C6F-ABF1-123833BAD6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2914D59-2BC7-4D6B-A692-722A6A68712C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TRIAL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Comparing 12g and 18g of CO2 and Propane in 75 or 48F</a:t>
          </a:r>
          <a:endParaRPr lang="en-US">
            <a:effectLst/>
          </a:endParaRPr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D9DEE3A-0760-4423-A07F-44AE6A9D1E49}"/>
            </a:ext>
          </a:extLst>
        </xdr:cNvPr>
        <xdr:cNvSpPr txBox="1"/>
      </xdr:nvSpPr>
      <xdr:spPr>
        <a:xfrm>
          <a:off x="10591800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Timing based on bolt position not trigger limit switch</a:t>
          </a:r>
          <a:endParaRPr lang="en-US">
            <a:effectLst/>
          </a:endParaRPr>
        </a:p>
        <a:p>
          <a:endParaRPr lang="en-US" sz="1100" baseline="0"/>
        </a:p>
        <a:p>
          <a:r>
            <a:rPr lang="en-US" sz="1100" baseline="0"/>
            <a:t>tested outside, bench a bit more wobbly than inside bench</a:t>
          </a:r>
        </a:p>
        <a:p>
          <a:endParaRPr lang="en-US" sz="1100" baseline="0"/>
        </a:p>
        <a:p>
          <a:r>
            <a:rPr lang="en-US" sz="1100" baseline="0"/>
            <a:t>gun recently cleaned</a:t>
          </a:r>
        </a:p>
        <a:p>
          <a:endParaRPr lang="en-US" sz="1100" baseline="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</xdr:row>
      <xdr:rowOff>0</xdr:rowOff>
    </xdr:from>
    <xdr:to>
      <xdr:col>31</xdr:col>
      <xdr:colOff>333373</xdr:colOff>
      <xdr:row>38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AD43F4-E740-4DD9-9216-7444388D40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E173DA-9420-49E6-8FC5-B724471079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6675912-5B58-4F14-AA11-E61CB96D85DD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- Comparing 12g and 18g of CO2 and Propane in 75 or 48F</a:t>
          </a:r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5691227-EDE3-4D11-B7B5-5320C9E9790D}"/>
            </a:ext>
          </a:extLst>
        </xdr:cNvPr>
        <xdr:cNvSpPr txBox="1"/>
      </xdr:nvSpPr>
      <xdr:spPr>
        <a:xfrm>
          <a:off x="10591800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r>
            <a:rPr lang="en-US" sz="1100" baseline="0"/>
            <a:t>Timing based on bolt position not trigger limit switch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tested outside, bench a bit more wobbly than inside bench</a:t>
          </a:r>
          <a:endParaRPr lang="en-US">
            <a:effectLst/>
          </a:endParaRP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gun recently cleaned</a:t>
          </a:r>
          <a:endParaRPr lang="en-US">
            <a:effectLst/>
          </a:endParaRPr>
        </a:p>
        <a:p>
          <a:endParaRPr lang="en-US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78B22D-65DE-4024-B14F-49F12B24DA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B4587A5-E6ED-4481-9966-453F6CE19F25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- Comparing 12g and 18g of CO2 and Propane in 75 or 48F</a:t>
          </a:r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43F4AE9-FCD0-4B46-8A26-B425D4644524}"/>
            </a:ext>
          </a:extLst>
        </xdr:cNvPr>
        <xdr:cNvSpPr txBox="1"/>
      </xdr:nvSpPr>
      <xdr:spPr>
        <a:xfrm>
          <a:off x="10591800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r>
            <a:rPr lang="en-US" sz="1100" baseline="0"/>
            <a:t>Timing based on bolt position not trigger limit switch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tested outside, bench a bit more wobbly than inside bench</a:t>
          </a:r>
          <a:endParaRPr lang="en-US">
            <a:effectLst/>
          </a:endParaRP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gun recently cleaned</a:t>
          </a:r>
          <a:endParaRPr lang="en-US">
            <a:effectLst/>
          </a:endParaRPr>
        </a:p>
        <a:p>
          <a:endParaRPr lang="en-US" sz="1100" baseline="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6B62A7-70A4-4831-9498-FCCC47C46D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27A8469-38AF-442B-8D01-03E3A9176019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- Comparing 12g and 18g of CO2 and Propane in 75 or 48F</a:t>
          </a:r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28F0781-EEBA-4C70-B908-E57954340ADA}"/>
            </a:ext>
          </a:extLst>
        </xdr:cNvPr>
        <xdr:cNvSpPr txBox="1"/>
      </xdr:nvSpPr>
      <xdr:spPr>
        <a:xfrm>
          <a:off x="10591800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r>
            <a:rPr lang="en-US" sz="1100" baseline="0"/>
            <a:t>Timing based on bolt position not trigger limit switch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tested outside, bench a bit more wobbly than inside bench</a:t>
          </a:r>
          <a:endParaRPr lang="en-US">
            <a:effectLst/>
          </a:endParaRP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gun recently cleaned</a:t>
          </a:r>
          <a:endParaRPr lang="en-US">
            <a:effectLst/>
          </a:endParaRPr>
        </a:p>
        <a:p>
          <a:endParaRPr lang="en-US" sz="1100" baseline="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</xdr:row>
      <xdr:rowOff>0</xdr:rowOff>
    </xdr:from>
    <xdr:to>
      <xdr:col>31</xdr:col>
      <xdr:colOff>333373</xdr:colOff>
      <xdr:row>38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F6D29E-F41C-4EBD-8F2D-628BE9A436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FD6967-8EDB-4780-AF17-B374AB9609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675EC43-C840-4042-AA4E-D6BF5C4A2452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TRIAL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Comparing 12g and 18g of CO2 and Propane in 75 or 48F</a:t>
          </a:r>
          <a:endParaRPr lang="en-US">
            <a:effectLst/>
          </a:endParaRPr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628A2ED-1A61-4AF7-BEA1-4917B6A48C2F}"/>
            </a:ext>
          </a:extLst>
        </xdr:cNvPr>
        <xdr:cNvSpPr txBox="1"/>
      </xdr:nvSpPr>
      <xdr:spPr>
        <a:xfrm>
          <a:off x="10591800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Timing based on bolt position not trigger limit switch</a:t>
          </a:r>
          <a:endParaRPr lang="en-US">
            <a:effectLst/>
          </a:endParaRPr>
        </a:p>
        <a:p>
          <a:endParaRPr lang="en-US" sz="1100" baseline="0"/>
        </a:p>
        <a:p>
          <a:r>
            <a:rPr lang="en-US" sz="1100" baseline="0"/>
            <a:t>tested outside, bench a bit more wobbly than inside bench</a:t>
          </a:r>
        </a:p>
        <a:p>
          <a:endParaRPr lang="en-US" sz="1100" baseline="0"/>
        </a:p>
        <a:p>
          <a:r>
            <a:rPr lang="en-US" sz="1100" baseline="0"/>
            <a:t>gun recently cleaned</a:t>
          </a:r>
        </a:p>
        <a:p>
          <a:endParaRPr lang="en-US" sz="1100" baseline="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B693BE-F9F1-4D13-BBD6-D5673C8CFD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317A235-F60A-416F-B3FB-EF55EF131BB9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TRIAL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Comparing 12g and 18g of CO2 and Propane in 75 or 48F</a:t>
          </a:r>
          <a:endParaRPr lang="en-US">
            <a:effectLst/>
          </a:endParaRPr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D4A3A89-6EF9-4550-813F-5215E96523ED}"/>
            </a:ext>
          </a:extLst>
        </xdr:cNvPr>
        <xdr:cNvSpPr txBox="1"/>
      </xdr:nvSpPr>
      <xdr:spPr>
        <a:xfrm>
          <a:off x="10591800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Timing based on bolt position not trigger limit switch</a:t>
          </a:r>
          <a:endParaRPr lang="en-US">
            <a:effectLst/>
          </a:endParaRPr>
        </a:p>
        <a:p>
          <a:endParaRPr lang="en-US" sz="1100" baseline="0"/>
        </a:p>
        <a:p>
          <a:r>
            <a:rPr lang="en-US" sz="1100" baseline="0"/>
            <a:t>tested outside, bench a bit more wobbly than inside bench</a:t>
          </a:r>
        </a:p>
        <a:p>
          <a:endParaRPr lang="en-US" sz="1100" baseline="0"/>
        </a:p>
        <a:p>
          <a:r>
            <a:rPr lang="en-US" sz="1100" baseline="0"/>
            <a:t>gun recently cleaned</a:t>
          </a:r>
        </a:p>
        <a:p>
          <a:endParaRPr lang="en-US" sz="1100" baseline="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</xdr:row>
      <xdr:rowOff>0</xdr:rowOff>
    </xdr:from>
    <xdr:to>
      <xdr:col>31</xdr:col>
      <xdr:colOff>333373</xdr:colOff>
      <xdr:row>38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063F3F-EAF6-42A2-836A-DF30790EC7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14</xdr:row>
      <xdr:rowOff>123823</xdr:rowOff>
    </xdr:from>
    <xdr:to>
      <xdr:col>27</xdr:col>
      <xdr:colOff>466726</xdr:colOff>
      <xdr:row>57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F34A18F-0F64-33E6-9F3C-6F7A08CEDE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0.86207</cdr:x>
      <cdr:y>0.39781</cdr:y>
    </cdr:from>
    <cdr:to>
      <cdr:x>0.98306</cdr:x>
      <cdr:y>0.5305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DB6E979-D076-DE58-1E11-3B0E82180C96}"/>
            </a:ext>
          </a:extLst>
        </cdr:cNvPr>
        <cdr:cNvSpPr txBox="1"/>
      </cdr:nvSpPr>
      <cdr:spPr>
        <a:xfrm xmlns:a="http://schemas.openxmlformats.org/drawingml/2006/main">
          <a:off x="13573124" y="3273852"/>
          <a:ext cx="1905001" cy="10919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1200" baseline="0">
              <a:solidFill>
                <a:schemeClr val="bg1">
                  <a:lumMod val="85000"/>
                </a:schemeClr>
              </a:solidFill>
            </a:rPr>
            <a:t>Avg Shot Count: 98.6</a:t>
          </a:r>
        </a:p>
        <a:p xmlns:a="http://schemas.openxmlformats.org/drawingml/2006/main">
          <a:pPr algn="l"/>
          <a:r>
            <a:rPr lang="en-US" sz="1200" baseline="0">
              <a:solidFill>
                <a:schemeClr val="bg1">
                  <a:lumMod val="85000"/>
                </a:schemeClr>
              </a:solidFill>
            </a:rPr>
            <a:t>Avg Consumption: 11.6g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bg1">
                  <a:lumMod val="85000"/>
                </a:schemeClr>
              </a:solidFill>
              <a:effectLst/>
              <a:latin typeface="+mn-lt"/>
              <a:ea typeface="+mn-ea"/>
              <a:cs typeface="+mn-cs"/>
            </a:rPr>
            <a:t>Avg</a:t>
          </a:r>
          <a:r>
            <a:rPr lang="en-US" sz="1200" baseline="0">
              <a:solidFill>
                <a:schemeClr val="bg1">
                  <a:lumMod val="85000"/>
                </a:schemeClr>
              </a:solidFill>
              <a:effectLst/>
              <a:latin typeface="+mn-lt"/>
              <a:ea typeface="+mn-ea"/>
              <a:cs typeface="+mn-cs"/>
            </a:rPr>
            <a:t> Temp Delta: -26.3F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bg1">
                  <a:lumMod val="85000"/>
                </a:schemeClr>
              </a:solidFill>
              <a:effectLst/>
              <a:latin typeface="+mn-lt"/>
              <a:ea typeface="+mn-ea"/>
              <a:cs typeface="+mn-cs"/>
            </a:rPr>
            <a:t>50 Shot Delta: 3.9ms</a:t>
          </a:r>
          <a:endParaRPr lang="en-US" sz="1200">
            <a:solidFill>
              <a:schemeClr val="bg1">
                <a:lumMod val="85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0.86267</cdr:x>
      <cdr:y>0.21849</cdr:y>
    </cdr:from>
    <cdr:to>
      <cdr:x>0.97883</cdr:x>
      <cdr:y>0.33549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4130747-FA05-53F1-54A1-EE1113A30B93}"/>
            </a:ext>
          </a:extLst>
        </cdr:cNvPr>
        <cdr:cNvSpPr txBox="1"/>
      </cdr:nvSpPr>
      <cdr:spPr>
        <a:xfrm xmlns:a="http://schemas.openxmlformats.org/drawingml/2006/main">
          <a:off x="13582651" y="1798083"/>
          <a:ext cx="1828800" cy="9628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 baseline="0">
              <a:solidFill>
                <a:schemeClr val="bg1">
                  <a:lumMod val="85000"/>
                </a:schemeClr>
              </a:solidFill>
            </a:rPr>
            <a:t>Avg Shot Count: 76</a:t>
          </a:r>
        </a:p>
        <a:p xmlns:a="http://schemas.openxmlformats.org/drawingml/2006/main">
          <a:pPr algn="l"/>
          <a:r>
            <a:rPr lang="en-US" sz="1200" baseline="0">
              <a:solidFill>
                <a:schemeClr val="bg1">
                  <a:lumMod val="85000"/>
                </a:schemeClr>
              </a:solidFill>
            </a:rPr>
            <a:t>Avg Consumption: 9g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bg1">
                  <a:lumMod val="85000"/>
                </a:schemeClr>
              </a:solidFill>
              <a:effectLst/>
              <a:latin typeface="+mn-lt"/>
              <a:ea typeface="+mn-ea"/>
              <a:cs typeface="+mn-cs"/>
            </a:rPr>
            <a:t>Avg</a:t>
          </a:r>
          <a:r>
            <a:rPr lang="en-US" sz="1200" baseline="0">
              <a:solidFill>
                <a:schemeClr val="bg1">
                  <a:lumMod val="85000"/>
                </a:schemeClr>
              </a:solidFill>
              <a:effectLst/>
              <a:latin typeface="+mn-lt"/>
              <a:ea typeface="+mn-ea"/>
              <a:cs typeface="+mn-cs"/>
            </a:rPr>
            <a:t> Temp Delta: -20.6F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bg1">
                  <a:lumMod val="85000"/>
                </a:schemeClr>
              </a:solidFill>
              <a:effectLst/>
              <a:latin typeface="+mn-lt"/>
              <a:ea typeface="+mn-ea"/>
              <a:cs typeface="+mn-cs"/>
            </a:rPr>
            <a:t>50 Shot Delta: 5.9ms</a:t>
          </a:r>
          <a:endParaRPr lang="en-US" sz="1200">
            <a:solidFill>
              <a:schemeClr val="bg1">
                <a:lumMod val="85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0.01702</cdr:x>
      <cdr:y>0.09503</cdr:y>
    </cdr:from>
    <cdr:to>
      <cdr:x>0.35451</cdr:x>
      <cdr:y>0.1558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FD39DDBB-FE01-D204-F1D8-FBF0237EC2CA}"/>
            </a:ext>
          </a:extLst>
        </cdr:cNvPr>
        <cdr:cNvSpPr txBox="1"/>
      </cdr:nvSpPr>
      <cdr:spPr>
        <a:xfrm xmlns:a="http://schemas.openxmlformats.org/drawingml/2006/main">
          <a:off x="285750" y="819150"/>
          <a:ext cx="5667375" cy="523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0.01119</cdr:x>
      <cdr:y>0.08256</cdr:y>
    </cdr:from>
    <cdr:to>
      <cdr:x>0.64992</cdr:x>
      <cdr:y>0.13007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46471592-6CF4-E84C-3F4F-961146278CB2}"/>
            </a:ext>
          </a:extLst>
        </cdr:cNvPr>
        <cdr:cNvSpPr txBox="1"/>
      </cdr:nvSpPr>
      <cdr:spPr>
        <a:xfrm xmlns:a="http://schemas.openxmlformats.org/drawingml/2006/main">
          <a:off x="137900" y="596857"/>
          <a:ext cx="7872624" cy="3435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>
              <a:solidFill>
                <a:schemeClr val="bg1">
                  <a:lumMod val="85000"/>
                </a:schemeClr>
              </a:solidFill>
            </a:rPr>
            <a:t>48F</a:t>
          </a:r>
          <a:r>
            <a:rPr lang="en-US" sz="2000" baseline="0">
              <a:solidFill>
                <a:schemeClr val="bg1">
                  <a:lumMod val="85000"/>
                </a:schemeClr>
              </a:solidFill>
            </a:rPr>
            <a:t> Temperature | 300ms Shot Interval | GHK AKS74u | High Flow Nozzle</a:t>
          </a:r>
          <a:endParaRPr lang="en-US" sz="2000">
            <a:solidFill>
              <a:schemeClr val="bg1">
                <a:lumMod val="8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0.83545</cdr:x>
      <cdr:y>0.95609</cdr:y>
    </cdr:from>
    <cdr:to>
      <cdr:x>0.99637</cdr:x>
      <cdr:y>0.98903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365D115C-CA29-D752-A046-FA9FA16A1021}"/>
            </a:ext>
          </a:extLst>
        </cdr:cNvPr>
        <cdr:cNvSpPr txBox="1"/>
      </cdr:nvSpPr>
      <cdr:spPr>
        <a:xfrm xmlns:a="http://schemas.openxmlformats.org/drawingml/2006/main">
          <a:off x="13154024" y="7868237"/>
          <a:ext cx="2533651" cy="271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</a:rPr>
            <a:t>*Each entry represents average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</a:rPr>
            <a:t> of 3 runs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0.86207</cdr:x>
      <cdr:y>0.57793</cdr:y>
    </cdr:from>
    <cdr:to>
      <cdr:x>0.99153</cdr:x>
      <cdr:y>0.71062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16AB2B04-7F15-3BFC-79E6-1ACD48645F88}"/>
            </a:ext>
          </a:extLst>
        </cdr:cNvPr>
        <cdr:cNvSpPr txBox="1"/>
      </cdr:nvSpPr>
      <cdr:spPr>
        <a:xfrm xmlns:a="http://schemas.openxmlformats.org/drawingml/2006/main">
          <a:off x="13573125" y="4756150"/>
          <a:ext cx="2038351" cy="10919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 baseline="0">
              <a:solidFill>
                <a:schemeClr val="bg1">
                  <a:lumMod val="85000"/>
                </a:schemeClr>
              </a:solidFill>
            </a:rPr>
            <a:t>Avg Shot Count: 38.7</a:t>
          </a:r>
        </a:p>
        <a:p xmlns:a="http://schemas.openxmlformats.org/drawingml/2006/main">
          <a:pPr algn="l"/>
          <a:r>
            <a:rPr lang="en-US" sz="1200" baseline="0">
              <a:solidFill>
                <a:schemeClr val="bg1">
                  <a:lumMod val="85000"/>
                </a:schemeClr>
              </a:solidFill>
            </a:rPr>
            <a:t>Avg Consumption: 3.6g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bg1">
                  <a:lumMod val="85000"/>
                </a:schemeClr>
              </a:solidFill>
              <a:effectLst/>
              <a:latin typeface="+mn-lt"/>
              <a:ea typeface="+mn-ea"/>
              <a:cs typeface="+mn-cs"/>
            </a:rPr>
            <a:t>Avg</a:t>
          </a:r>
          <a:r>
            <a:rPr lang="en-US" sz="1200" baseline="0">
              <a:solidFill>
                <a:schemeClr val="bg1">
                  <a:lumMod val="85000"/>
                </a:schemeClr>
              </a:solidFill>
              <a:effectLst/>
              <a:latin typeface="+mn-lt"/>
              <a:ea typeface="+mn-ea"/>
              <a:cs typeface="+mn-cs"/>
            </a:rPr>
            <a:t> Temp Delta: -9.1F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bg1">
                  <a:lumMod val="85000"/>
                </a:schemeClr>
              </a:solidFill>
              <a:effectLst/>
              <a:latin typeface="+mn-lt"/>
              <a:ea typeface="+mn-ea"/>
              <a:cs typeface="+mn-cs"/>
            </a:rPr>
            <a:t>30 Shot Delta: 8.3ms</a:t>
          </a:r>
          <a:endParaRPr lang="en-US" sz="1200">
            <a:solidFill>
              <a:schemeClr val="bg1">
                <a:lumMod val="85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0.00242</cdr:x>
      <cdr:y>0.96219</cdr:y>
    </cdr:from>
    <cdr:to>
      <cdr:x>0.16334</cdr:x>
      <cdr:y>0.99513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30A0D5B2-752F-6D94-24B4-35AB84057E09}"/>
            </a:ext>
          </a:extLst>
        </cdr:cNvPr>
        <cdr:cNvSpPr txBox="1"/>
      </cdr:nvSpPr>
      <cdr:spPr>
        <a:xfrm xmlns:a="http://schemas.openxmlformats.org/drawingml/2006/main">
          <a:off x="38100" y="7918450"/>
          <a:ext cx="2533657" cy="2710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</a:rPr>
            <a:t>*Krinov Dyno V0.1</a:t>
          </a:r>
        </a:p>
      </cdr:txBody>
    </cdr:sp>
  </cdr:relSizeAnchor>
  <cdr:relSizeAnchor xmlns:cdr="http://schemas.openxmlformats.org/drawingml/2006/chartDrawing">
    <cdr:from>
      <cdr:x>0.86328</cdr:x>
      <cdr:y>0.75502</cdr:y>
    </cdr:from>
    <cdr:to>
      <cdr:x>0.97883</cdr:x>
      <cdr:y>0.88771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E2A4741D-8DBF-9526-1866-9ECC65B2C6B4}"/>
            </a:ext>
          </a:extLst>
        </cdr:cNvPr>
        <cdr:cNvSpPr txBox="1"/>
      </cdr:nvSpPr>
      <cdr:spPr>
        <a:xfrm xmlns:a="http://schemas.openxmlformats.org/drawingml/2006/main">
          <a:off x="13592175" y="6213475"/>
          <a:ext cx="1819276" cy="10919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 baseline="0">
              <a:solidFill>
                <a:schemeClr val="bg1">
                  <a:lumMod val="85000"/>
                </a:schemeClr>
              </a:solidFill>
            </a:rPr>
            <a:t>Avg Shot Count: 52.5</a:t>
          </a:r>
        </a:p>
        <a:p xmlns:a="http://schemas.openxmlformats.org/drawingml/2006/main">
          <a:pPr algn="l"/>
          <a:r>
            <a:rPr lang="en-US" sz="1200" baseline="0">
              <a:solidFill>
                <a:schemeClr val="bg1">
                  <a:lumMod val="85000"/>
                </a:schemeClr>
              </a:solidFill>
            </a:rPr>
            <a:t>Avg Consumption: 8g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bg1">
                  <a:lumMod val="85000"/>
                </a:schemeClr>
              </a:solidFill>
              <a:effectLst/>
              <a:latin typeface="+mn-lt"/>
              <a:ea typeface="+mn-ea"/>
              <a:cs typeface="+mn-cs"/>
            </a:rPr>
            <a:t>Avg</a:t>
          </a:r>
          <a:r>
            <a:rPr lang="en-US" sz="1200" baseline="0">
              <a:solidFill>
                <a:schemeClr val="bg1">
                  <a:lumMod val="85000"/>
                </a:schemeClr>
              </a:solidFill>
              <a:effectLst/>
              <a:latin typeface="+mn-lt"/>
              <a:ea typeface="+mn-ea"/>
              <a:cs typeface="+mn-cs"/>
            </a:rPr>
            <a:t> Temp Delta: -9.45F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bg1">
                  <a:lumMod val="85000"/>
                </a:schemeClr>
              </a:solidFill>
              <a:effectLst/>
              <a:latin typeface="+mn-lt"/>
              <a:ea typeface="+mn-ea"/>
              <a:cs typeface="+mn-cs"/>
            </a:rPr>
            <a:t>30 Shot Delta: 8.3ms</a:t>
          </a:r>
          <a:endParaRPr lang="en-US" sz="1200">
            <a:solidFill>
              <a:schemeClr val="bg1">
                <a:lumMod val="85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37FA0-28A4-4425-BB0B-C10E9B0CC289}">
  <sheetPr codeName="Sheet10"/>
  <dimension ref="A1:AH2445"/>
  <sheetViews>
    <sheetView topLeftCell="B1" zoomScaleNormal="100" workbookViewId="0">
      <selection activeCell="I38" sqref="I38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/>
      <c r="D4">
        <v>39722</v>
      </c>
      <c r="E4">
        <v>20</v>
      </c>
      <c r="F4">
        <v>64</v>
      </c>
      <c r="G4">
        <v>84</v>
      </c>
      <c r="H4" s="11"/>
      <c r="I4" s="12" t="s">
        <v>8</v>
      </c>
      <c r="J4" s="13">
        <v>1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/>
      <c r="D5">
        <v>313</v>
      </c>
      <c r="E5">
        <v>20</v>
      </c>
      <c r="F5">
        <v>65</v>
      </c>
      <c r="G5">
        <v>85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/>
      <c r="D6">
        <v>317</v>
      </c>
      <c r="E6">
        <v>22</v>
      </c>
      <c r="F6">
        <v>63</v>
      </c>
      <c r="G6">
        <v>85</v>
      </c>
      <c r="H6" s="11"/>
      <c r="I6" s="15" t="s">
        <v>9</v>
      </c>
      <c r="J6" s="16" t="s">
        <v>27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/>
      <c r="D7">
        <v>315</v>
      </c>
      <c r="E7">
        <v>20</v>
      </c>
      <c r="F7">
        <v>64</v>
      </c>
      <c r="G7">
        <v>84</v>
      </c>
      <c r="H7" s="11"/>
      <c r="I7" s="17" t="s">
        <v>10</v>
      </c>
      <c r="J7" s="18">
        <v>12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/>
      <c r="D8">
        <v>317</v>
      </c>
      <c r="E8">
        <v>22</v>
      </c>
      <c r="F8">
        <v>64</v>
      </c>
      <c r="G8">
        <v>86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/>
      <c r="D9">
        <v>316</v>
      </c>
      <c r="E9">
        <v>21</v>
      </c>
      <c r="F9">
        <v>64</v>
      </c>
      <c r="G9">
        <v>85</v>
      </c>
      <c r="H9" s="11"/>
      <c r="I9" s="15" t="s">
        <v>11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/>
      <c r="D10">
        <v>314</v>
      </c>
      <c r="E10">
        <v>20</v>
      </c>
      <c r="F10">
        <v>65</v>
      </c>
      <c r="G10">
        <v>85</v>
      </c>
      <c r="H10" s="11"/>
      <c r="I10" s="17" t="s">
        <v>12</v>
      </c>
      <c r="J10" s="21" t="s">
        <v>13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/>
      <c r="D11">
        <v>318</v>
      </c>
      <c r="E11">
        <v>21</v>
      </c>
      <c r="F11">
        <v>64</v>
      </c>
      <c r="G11">
        <v>85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/>
      <c r="D12">
        <v>313</v>
      </c>
      <c r="E12">
        <v>21</v>
      </c>
      <c r="F12">
        <v>66</v>
      </c>
      <c r="G12">
        <v>87</v>
      </c>
      <c r="H12" s="11"/>
      <c r="I12" s="15" t="s">
        <v>14</v>
      </c>
      <c r="J12" s="16">
        <v>624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/>
      <c r="D13">
        <v>315</v>
      </c>
      <c r="E13">
        <v>22</v>
      </c>
      <c r="F13">
        <v>64</v>
      </c>
      <c r="G13">
        <v>86</v>
      </c>
      <c r="H13" s="11"/>
      <c r="I13" s="24" t="s">
        <v>15</v>
      </c>
      <c r="J13" s="25">
        <f>J12+J7</f>
        <v>636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/>
      <c r="D14">
        <v>314</v>
      </c>
      <c r="E14">
        <v>22</v>
      </c>
      <c r="F14">
        <v>64</v>
      </c>
      <c r="G14">
        <v>86</v>
      </c>
      <c r="H14" s="11"/>
      <c r="I14" s="24" t="s">
        <v>16</v>
      </c>
      <c r="J14" s="26">
        <v>627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/>
      <c r="D15">
        <v>314</v>
      </c>
      <c r="E15">
        <v>22</v>
      </c>
      <c r="F15">
        <v>65</v>
      </c>
      <c r="G15">
        <v>87</v>
      </c>
      <c r="H15" s="11"/>
      <c r="I15" s="17" t="s">
        <v>17</v>
      </c>
      <c r="J15" s="21">
        <f>J13-J14</f>
        <v>9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/>
      <c r="D16">
        <v>317</v>
      </c>
      <c r="E16">
        <v>22</v>
      </c>
      <c r="F16">
        <v>65</v>
      </c>
      <c r="G16">
        <v>87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/>
      <c r="D17">
        <v>311</v>
      </c>
      <c r="E17">
        <v>21</v>
      </c>
      <c r="F17">
        <v>65</v>
      </c>
      <c r="G17">
        <v>86</v>
      </c>
      <c r="H17" s="11"/>
      <c r="I17" s="15" t="s">
        <v>18</v>
      </c>
      <c r="J17" s="16">
        <v>50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/>
      <c r="D18">
        <v>318</v>
      </c>
      <c r="E18">
        <v>22</v>
      </c>
      <c r="F18">
        <v>66</v>
      </c>
      <c r="G18">
        <v>88</v>
      </c>
      <c r="H18" s="11"/>
      <c r="I18" s="24" t="s">
        <v>19</v>
      </c>
      <c r="J18" s="25">
        <v>47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/>
      <c r="D19">
        <v>310</v>
      </c>
      <c r="E19">
        <v>22</v>
      </c>
      <c r="F19">
        <v>65</v>
      </c>
      <c r="G19">
        <v>87</v>
      </c>
      <c r="H19" s="11"/>
      <c r="I19" s="24" t="s">
        <v>20</v>
      </c>
      <c r="J19" s="25">
        <v>25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6.5" x14ac:dyDescent="0.25">
      <c r="A20" s="1"/>
      <c r="B20" s="8">
        <f t="shared" si="0"/>
        <v>17</v>
      </c>
      <c r="C20" s="9"/>
      <c r="D20">
        <v>316</v>
      </c>
      <c r="E20">
        <v>22</v>
      </c>
      <c r="F20">
        <v>65</v>
      </c>
      <c r="G20">
        <v>87</v>
      </c>
      <c r="H20" s="11"/>
      <c r="I20" s="29" t="s">
        <v>28</v>
      </c>
      <c r="J20" s="30">
        <f>J18-J19</f>
        <v>22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/>
      <c r="D21">
        <v>312</v>
      </c>
      <c r="E21">
        <v>23</v>
      </c>
      <c r="F21">
        <v>64</v>
      </c>
      <c r="G21">
        <v>87</v>
      </c>
      <c r="H21" s="11"/>
      <c r="I21" s="31"/>
      <c r="J21" s="32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/>
      <c r="D22">
        <v>314</v>
      </c>
      <c r="F22" t="s">
        <v>26</v>
      </c>
      <c r="G22">
        <v>87</v>
      </c>
      <c r="H22" s="11"/>
      <c r="I22" s="15" t="s">
        <v>21</v>
      </c>
      <c r="J22" s="16">
        <f>COUNT(G4:G80)</f>
        <v>77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/>
      <c r="D23">
        <v>332</v>
      </c>
      <c r="E23">
        <v>23</v>
      </c>
      <c r="F23">
        <v>65</v>
      </c>
      <c r="G23">
        <v>88</v>
      </c>
      <c r="H23" s="11"/>
      <c r="I23" s="17" t="s">
        <v>22</v>
      </c>
      <c r="J23" s="21">
        <f>J15/J22</f>
        <v>0.11688311688311688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/>
      <c r="D24">
        <v>292</v>
      </c>
      <c r="E24">
        <v>24</v>
      </c>
      <c r="F24">
        <v>65</v>
      </c>
      <c r="G24">
        <v>89</v>
      </c>
      <c r="H24" s="11"/>
      <c r="I24" s="14"/>
      <c r="J24" s="33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/>
      <c r="D25">
        <v>313</v>
      </c>
      <c r="F25" t="s">
        <v>26</v>
      </c>
      <c r="G25">
        <v>88</v>
      </c>
      <c r="H25" s="11"/>
      <c r="I25" s="15" t="s">
        <v>23</v>
      </c>
      <c r="J25" s="16">
        <f>AVERAGE(E4:E1048576)</f>
        <v>26.405405405405407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/>
      <c r="D26">
        <v>331</v>
      </c>
      <c r="E26">
        <v>23</v>
      </c>
      <c r="F26">
        <v>65</v>
      </c>
      <c r="G26">
        <v>88</v>
      </c>
      <c r="H26" s="11"/>
      <c r="I26" s="24" t="s">
        <v>24</v>
      </c>
      <c r="J26" s="25">
        <f>AVERAGE(F4:F1048576)</f>
        <v>66.729729729729726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/>
      <c r="D27">
        <v>292</v>
      </c>
      <c r="E27">
        <v>23</v>
      </c>
      <c r="F27">
        <v>64</v>
      </c>
      <c r="G27">
        <v>87</v>
      </c>
      <c r="H27" s="11"/>
      <c r="I27" s="17" t="s">
        <v>25</v>
      </c>
      <c r="J27" s="21">
        <f>AVERAGE(D5:D1048576)</f>
        <v>306.8354430379747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/>
      <c r="D28">
        <v>312</v>
      </c>
      <c r="E28">
        <v>23</v>
      </c>
      <c r="F28">
        <v>68</v>
      </c>
      <c r="G28">
        <v>91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/>
      <c r="D29">
        <v>311</v>
      </c>
      <c r="F29" t="s">
        <v>26</v>
      </c>
      <c r="G29">
        <v>88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/>
      <c r="D30">
        <v>313</v>
      </c>
      <c r="E30">
        <v>23</v>
      </c>
      <c r="F30">
        <v>65</v>
      </c>
      <c r="G30">
        <v>88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/>
      <c r="D31">
        <v>311</v>
      </c>
      <c r="E31">
        <v>24</v>
      </c>
      <c r="F31">
        <v>66</v>
      </c>
      <c r="G31">
        <v>90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/>
      <c r="D32">
        <v>310</v>
      </c>
      <c r="E32">
        <v>24</v>
      </c>
      <c r="F32">
        <v>66</v>
      </c>
      <c r="G32">
        <v>90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/>
      <c r="D33">
        <v>332</v>
      </c>
      <c r="E33">
        <v>24</v>
      </c>
      <c r="F33">
        <v>68</v>
      </c>
      <c r="G33">
        <v>92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/>
      <c r="D34">
        <v>311</v>
      </c>
      <c r="E34">
        <v>23</v>
      </c>
      <c r="F34">
        <v>68</v>
      </c>
      <c r="G34">
        <v>91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/>
      <c r="D35">
        <v>308</v>
      </c>
      <c r="E35">
        <v>25</v>
      </c>
      <c r="F35">
        <v>67</v>
      </c>
      <c r="G35">
        <v>92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/>
      <c r="D36">
        <v>288</v>
      </c>
      <c r="E36">
        <v>24</v>
      </c>
      <c r="F36">
        <v>66</v>
      </c>
      <c r="G36">
        <v>90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/>
      <c r="D37">
        <v>328</v>
      </c>
      <c r="E37">
        <v>24</v>
      </c>
      <c r="F37">
        <v>69</v>
      </c>
      <c r="G37">
        <v>93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/>
      <c r="D38">
        <v>308</v>
      </c>
      <c r="E38">
        <v>24</v>
      </c>
      <c r="F38">
        <v>65</v>
      </c>
      <c r="G38">
        <v>89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/>
      <c r="D39">
        <v>312</v>
      </c>
      <c r="E39">
        <v>24</v>
      </c>
      <c r="F39">
        <v>67</v>
      </c>
      <c r="G39">
        <v>91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/>
      <c r="D40">
        <v>308</v>
      </c>
      <c r="E40">
        <v>24</v>
      </c>
      <c r="F40">
        <v>69</v>
      </c>
      <c r="G40">
        <v>93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/>
      <c r="D41">
        <v>304</v>
      </c>
      <c r="E41">
        <v>26</v>
      </c>
      <c r="F41">
        <v>67</v>
      </c>
      <c r="G41">
        <v>93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/>
      <c r="D42">
        <v>311</v>
      </c>
      <c r="E42">
        <v>25</v>
      </c>
      <c r="F42">
        <v>67</v>
      </c>
      <c r="G42">
        <v>92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/>
      <c r="D43">
        <v>307</v>
      </c>
      <c r="E43">
        <v>26</v>
      </c>
      <c r="F43">
        <v>67</v>
      </c>
      <c r="G43">
        <v>93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/>
      <c r="D44">
        <v>308</v>
      </c>
      <c r="E44">
        <v>25</v>
      </c>
      <c r="F44">
        <v>68</v>
      </c>
      <c r="G44">
        <v>93</v>
      </c>
      <c r="H44" s="11"/>
      <c r="I44" s="11"/>
      <c r="J44" s="11"/>
      <c r="K44" s="11"/>
      <c r="L44" s="11"/>
      <c r="M44" s="1"/>
      <c r="N44" s="1"/>
      <c r="O44" s="1" t="s">
        <v>26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/>
      <c r="D45">
        <v>307</v>
      </c>
      <c r="E45">
        <v>25</v>
      </c>
      <c r="F45">
        <v>71</v>
      </c>
      <c r="G45">
        <v>96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/>
      <c r="D46">
        <v>304</v>
      </c>
      <c r="E46">
        <v>26</v>
      </c>
      <c r="F46">
        <v>68</v>
      </c>
      <c r="G46">
        <v>94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/>
      <c r="D47">
        <v>307</v>
      </c>
      <c r="E47">
        <v>24</v>
      </c>
      <c r="F47">
        <v>69</v>
      </c>
      <c r="G47">
        <v>93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/>
      <c r="D48">
        <v>305</v>
      </c>
      <c r="E48">
        <v>24</v>
      </c>
      <c r="F48">
        <v>68</v>
      </c>
      <c r="G48">
        <v>92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/>
      <c r="D49">
        <v>311</v>
      </c>
      <c r="E49">
        <v>26</v>
      </c>
      <c r="F49">
        <v>69</v>
      </c>
      <c r="G49">
        <v>95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/>
      <c r="D50">
        <v>304</v>
      </c>
      <c r="E50">
        <v>25</v>
      </c>
      <c r="F50">
        <v>69</v>
      </c>
      <c r="G50">
        <v>94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/>
      <c r="D51">
        <v>305</v>
      </c>
      <c r="E51">
        <v>27</v>
      </c>
      <c r="F51">
        <v>69</v>
      </c>
      <c r="G51">
        <v>96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/>
      <c r="D52">
        <v>305</v>
      </c>
      <c r="E52">
        <v>27</v>
      </c>
      <c r="F52">
        <v>67</v>
      </c>
      <c r="G52">
        <v>94</v>
      </c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/>
      <c r="D53">
        <v>305</v>
      </c>
      <c r="E53">
        <v>26</v>
      </c>
      <c r="F53">
        <v>68</v>
      </c>
      <c r="G53">
        <v>94</v>
      </c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/>
      <c r="D54">
        <v>305</v>
      </c>
      <c r="E54">
        <v>26</v>
      </c>
      <c r="F54">
        <v>66</v>
      </c>
      <c r="G54">
        <v>92</v>
      </c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/>
      <c r="D55">
        <v>307</v>
      </c>
      <c r="E55">
        <v>27</v>
      </c>
      <c r="F55">
        <v>67</v>
      </c>
      <c r="G55">
        <v>94</v>
      </c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/>
      <c r="D56">
        <v>308</v>
      </c>
      <c r="E56">
        <v>27</v>
      </c>
      <c r="F56">
        <v>66</v>
      </c>
      <c r="G56">
        <v>93</v>
      </c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/>
      <c r="D57">
        <v>306</v>
      </c>
      <c r="E57">
        <v>28</v>
      </c>
      <c r="F57">
        <v>67</v>
      </c>
      <c r="G57">
        <v>95</v>
      </c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/>
      <c r="D58">
        <v>307</v>
      </c>
      <c r="E58">
        <v>26</v>
      </c>
      <c r="F58">
        <v>68</v>
      </c>
      <c r="G58">
        <v>94</v>
      </c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/>
      <c r="D59">
        <v>305</v>
      </c>
      <c r="E59">
        <v>29</v>
      </c>
      <c r="F59">
        <v>67</v>
      </c>
      <c r="G59">
        <v>96</v>
      </c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/>
      <c r="D60">
        <v>304</v>
      </c>
      <c r="E60">
        <v>28</v>
      </c>
      <c r="F60">
        <v>69</v>
      </c>
      <c r="G60">
        <v>97</v>
      </c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/>
      <c r="D61">
        <v>302</v>
      </c>
      <c r="E61">
        <v>27</v>
      </c>
      <c r="F61">
        <v>71</v>
      </c>
      <c r="G61">
        <v>98</v>
      </c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/>
      <c r="D62">
        <v>303</v>
      </c>
      <c r="E62">
        <v>29</v>
      </c>
      <c r="F62">
        <v>65</v>
      </c>
      <c r="G62">
        <v>94</v>
      </c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/>
      <c r="D63">
        <v>307</v>
      </c>
      <c r="E63">
        <v>27</v>
      </c>
      <c r="F63">
        <v>68</v>
      </c>
      <c r="G63">
        <v>95</v>
      </c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/>
      <c r="D64">
        <v>303</v>
      </c>
      <c r="E64">
        <v>30</v>
      </c>
      <c r="F64">
        <v>68</v>
      </c>
      <c r="G64">
        <v>98</v>
      </c>
      <c r="H64" s="11"/>
      <c r="I64" s="34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/>
      <c r="D65">
        <v>304</v>
      </c>
      <c r="E65">
        <v>30</v>
      </c>
      <c r="F65">
        <v>68</v>
      </c>
      <c r="G65">
        <v>98</v>
      </c>
      <c r="H65" s="11"/>
      <c r="I65" s="34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/>
      <c r="D66">
        <v>303</v>
      </c>
      <c r="E66">
        <v>29</v>
      </c>
      <c r="F66">
        <v>68</v>
      </c>
      <c r="G66">
        <v>97</v>
      </c>
      <c r="H66" s="11"/>
      <c r="I66" s="34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35"/>
      <c r="D67">
        <v>301</v>
      </c>
      <c r="E67">
        <v>31</v>
      </c>
      <c r="F67">
        <v>66</v>
      </c>
      <c r="G67">
        <v>97</v>
      </c>
      <c r="H67" s="11"/>
      <c r="I67" s="34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/>
      <c r="D68">
        <v>283</v>
      </c>
      <c r="E68">
        <v>31</v>
      </c>
      <c r="F68">
        <v>67</v>
      </c>
      <c r="G68">
        <v>98</v>
      </c>
      <c r="H68" s="11"/>
      <c r="I68" s="34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35"/>
      <c r="D69">
        <v>323</v>
      </c>
      <c r="E69">
        <v>31</v>
      </c>
      <c r="F69">
        <v>66</v>
      </c>
      <c r="G69">
        <v>97</v>
      </c>
      <c r="H69" s="11"/>
      <c r="I69" s="34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/>
      <c r="D70">
        <v>304</v>
      </c>
      <c r="E70">
        <v>32</v>
      </c>
      <c r="F70">
        <v>68</v>
      </c>
      <c r="G70">
        <v>100</v>
      </c>
      <c r="H70" s="11"/>
      <c r="I70" s="34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35"/>
      <c r="D71">
        <v>298</v>
      </c>
      <c r="E71">
        <v>30</v>
      </c>
      <c r="F71">
        <v>67</v>
      </c>
      <c r="G71">
        <v>97</v>
      </c>
      <c r="H71" s="11"/>
      <c r="I71" s="34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35"/>
      <c r="D72">
        <v>305</v>
      </c>
      <c r="E72">
        <v>33</v>
      </c>
      <c r="F72">
        <v>67</v>
      </c>
      <c r="G72">
        <v>100</v>
      </c>
      <c r="H72" s="11"/>
      <c r="I72" s="34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/>
      <c r="D73">
        <v>301</v>
      </c>
      <c r="E73">
        <v>34</v>
      </c>
      <c r="F73">
        <v>67</v>
      </c>
      <c r="G73">
        <v>101</v>
      </c>
      <c r="H73" s="11"/>
      <c r="I73" s="34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/>
      <c r="D74">
        <v>299</v>
      </c>
      <c r="E74">
        <v>35</v>
      </c>
      <c r="F74">
        <v>67</v>
      </c>
      <c r="G74">
        <v>102</v>
      </c>
      <c r="H74" s="11"/>
      <c r="I74" s="34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/>
      <c r="D75">
        <v>296</v>
      </c>
      <c r="E75">
        <v>36</v>
      </c>
      <c r="F75">
        <v>68</v>
      </c>
      <c r="G75">
        <v>104</v>
      </c>
      <c r="H75" s="11"/>
      <c r="I75" s="34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/>
      <c r="D76">
        <v>295</v>
      </c>
      <c r="E76">
        <v>36</v>
      </c>
      <c r="F76">
        <v>66</v>
      </c>
      <c r="G76">
        <v>102</v>
      </c>
      <c r="H76" s="11"/>
      <c r="I76" s="34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/>
      <c r="D77">
        <v>299</v>
      </c>
      <c r="E77">
        <v>39</v>
      </c>
      <c r="F77">
        <v>69</v>
      </c>
      <c r="G77">
        <v>108</v>
      </c>
      <c r="H77" s="11"/>
      <c r="I77" s="34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/>
      <c r="D78">
        <v>291</v>
      </c>
      <c r="E78">
        <v>39</v>
      </c>
      <c r="F78">
        <v>70</v>
      </c>
      <c r="G78">
        <v>109</v>
      </c>
      <c r="H78" s="11"/>
      <c r="I78" s="34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/>
      <c r="D79">
        <v>289</v>
      </c>
      <c r="E79">
        <v>43</v>
      </c>
      <c r="F79">
        <v>70</v>
      </c>
      <c r="G79">
        <v>113</v>
      </c>
      <c r="H79" s="11"/>
      <c r="I79" s="34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/>
      <c r="D80">
        <v>289</v>
      </c>
      <c r="E80">
        <v>45</v>
      </c>
      <c r="F80">
        <v>70</v>
      </c>
      <c r="G80">
        <v>115</v>
      </c>
      <c r="H80" s="11"/>
      <c r="I80" s="34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/>
      <c r="D81">
        <v>284</v>
      </c>
      <c r="F81" t="s">
        <v>26</v>
      </c>
      <c r="G81">
        <v>121</v>
      </c>
      <c r="H81" s="11"/>
      <c r="I81" s="34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/>
      <c r="D82">
        <v>280</v>
      </c>
      <c r="F82" t="s">
        <v>26</v>
      </c>
      <c r="G82">
        <v>120</v>
      </c>
      <c r="H82" s="11"/>
      <c r="I82" s="34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/>
      <c r="D83">
        <v>280</v>
      </c>
      <c r="F83" t="s">
        <v>26</v>
      </c>
      <c r="G83">
        <v>120</v>
      </c>
      <c r="H83" s="11"/>
      <c r="I83" s="34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/>
      <c r="D84" s="38"/>
      <c r="E84" s="10"/>
      <c r="F84" s="10"/>
      <c r="G84" s="38"/>
      <c r="H84" s="11"/>
      <c r="I84" s="34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/>
      <c r="D85" s="38"/>
      <c r="E85" s="10"/>
      <c r="F85" s="10"/>
      <c r="G85" s="38"/>
      <c r="H85" s="11"/>
      <c r="I85" s="34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35"/>
      <c r="D86" s="36"/>
      <c r="E86" s="37"/>
      <c r="F86" s="37"/>
      <c r="G86" s="36"/>
      <c r="H86" s="11"/>
      <c r="I86" s="34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D87" s="39"/>
      <c r="E87" s="8"/>
      <c r="F87" s="8"/>
      <c r="G87" s="8"/>
      <c r="H87" s="11"/>
      <c r="I87" s="34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D88" s="39"/>
      <c r="E88" s="8"/>
      <c r="F88" s="8"/>
      <c r="G88" s="8"/>
      <c r="H88" s="11"/>
      <c r="I88" s="40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D89" s="39"/>
      <c r="E89" s="8"/>
      <c r="F89" s="8"/>
      <c r="G89" s="8"/>
      <c r="H89" s="11"/>
      <c r="I89" s="40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D90" s="39"/>
      <c r="E90" s="8"/>
      <c r="F90" s="8"/>
      <c r="G90" s="8"/>
      <c r="H90" s="11"/>
      <c r="I90" s="40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D91" s="41"/>
      <c r="E91" s="8"/>
      <c r="F91" s="8"/>
      <c r="G91" s="8"/>
      <c r="H91" s="11"/>
      <c r="I91" s="40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D92" s="39"/>
      <c r="E92" s="8"/>
      <c r="F92" s="8"/>
      <c r="G92" s="8"/>
      <c r="H92" s="11"/>
      <c r="I92" s="34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D93" s="39"/>
      <c r="E93" s="8"/>
      <c r="F93" s="8"/>
      <c r="G93" s="8"/>
      <c r="H93" s="11"/>
      <c r="I93" s="40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D94" s="41"/>
      <c r="E94" s="8"/>
      <c r="F94" s="8"/>
      <c r="G94" s="8"/>
      <c r="H94" s="11"/>
      <c r="I94" s="40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 s="41"/>
      <c r="E95" s="8"/>
      <c r="F95" s="8"/>
      <c r="G95" s="8"/>
      <c r="H95" s="11"/>
      <c r="I95" s="34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 s="41"/>
      <c r="E96" s="8"/>
      <c r="F96" s="8"/>
      <c r="G96" s="8"/>
      <c r="H96" s="11"/>
      <c r="I96" s="34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4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BL_HST[CH3]" sqref="F4:F86" xr:uid="{EC9A94B4-5E7E-4AC6-BA85-2B6F5C285D78}"/>
    <dataValidation allowBlank="1" showInputMessage="1" showErrorMessage="1" prompt="TBL_HST[CH2]" sqref="E4:E86" xr:uid="{34AEE4BA-883F-470E-9EB9-B0818F973D39}"/>
    <dataValidation allowBlank="1" showInputMessage="1" showErrorMessage="1" prompt="TBL_HST[CH4]" sqref="G4:G86" xr:uid="{0A248F17-D12B-47F5-9AB9-24D10841B6EA}"/>
    <dataValidation allowBlank="1" showInputMessage="1" showErrorMessage="1" prompt="TBL_HST[CH1]" sqref="D4:D86" xr:uid="{E8740F95-4B99-4B29-855D-DA47CFB6608D}"/>
    <dataValidation allowBlank="1" showInputMessage="1" showErrorMessage="1" prompt="Time_x000d__x000a__x000d__x000a_TBL_HST[TIME]" sqref="C4:C86" xr:uid="{BF218D7B-0919-491A-9BAB-BAE889AF56DC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5CBFC-ABD7-40A8-AE9A-26735831CD8B}">
  <sheetPr codeName="Sheet11"/>
  <dimension ref="A1:AH2445"/>
  <sheetViews>
    <sheetView topLeftCell="B1" zoomScaleNormal="100" workbookViewId="0">
      <selection activeCell="J23" sqref="J23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/>
      <c r="D4">
        <v>16269</v>
      </c>
      <c r="E4">
        <v>20</v>
      </c>
      <c r="F4">
        <v>65</v>
      </c>
      <c r="G4">
        <v>85</v>
      </c>
      <c r="H4" s="11"/>
      <c r="I4" s="12" t="s">
        <v>8</v>
      </c>
      <c r="J4" s="13">
        <v>2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/>
      <c r="D5">
        <v>313</v>
      </c>
      <c r="E5">
        <v>21</v>
      </c>
      <c r="F5">
        <v>67</v>
      </c>
      <c r="G5">
        <v>88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/>
      <c r="D6">
        <v>314</v>
      </c>
      <c r="E6">
        <v>20</v>
      </c>
      <c r="F6">
        <v>63</v>
      </c>
      <c r="G6">
        <v>83</v>
      </c>
      <c r="H6" s="11"/>
      <c r="I6" s="15" t="s">
        <v>9</v>
      </c>
      <c r="J6" s="16" t="s">
        <v>27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/>
      <c r="D7">
        <v>317</v>
      </c>
      <c r="E7">
        <v>20</v>
      </c>
      <c r="F7">
        <v>67</v>
      </c>
      <c r="G7">
        <v>87</v>
      </c>
      <c r="H7" s="11"/>
      <c r="I7" s="17" t="s">
        <v>10</v>
      </c>
      <c r="J7" s="18">
        <v>12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/>
      <c r="D8">
        <v>313</v>
      </c>
      <c r="E8">
        <v>22</v>
      </c>
      <c r="F8">
        <v>65</v>
      </c>
      <c r="G8">
        <v>87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/>
      <c r="D9">
        <v>319</v>
      </c>
      <c r="E9">
        <v>21</v>
      </c>
      <c r="F9">
        <v>69</v>
      </c>
      <c r="G9">
        <v>90</v>
      </c>
      <c r="H9" s="11"/>
      <c r="I9" s="15" t="s">
        <v>11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/>
      <c r="D10">
        <v>310</v>
      </c>
      <c r="E10">
        <v>22</v>
      </c>
      <c r="F10">
        <v>65</v>
      </c>
      <c r="G10">
        <v>87</v>
      </c>
      <c r="H10" s="11"/>
      <c r="I10" s="17" t="s">
        <v>12</v>
      </c>
      <c r="J10" s="21" t="s">
        <v>13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/>
      <c r="D11">
        <v>314</v>
      </c>
      <c r="E11">
        <v>22</v>
      </c>
      <c r="F11">
        <v>66</v>
      </c>
      <c r="G11">
        <v>88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/>
      <c r="D12">
        <v>309</v>
      </c>
      <c r="E12">
        <v>21</v>
      </c>
      <c r="F12">
        <v>68</v>
      </c>
      <c r="G12">
        <v>89</v>
      </c>
      <c r="H12" s="11"/>
      <c r="I12" s="15" t="s">
        <v>14</v>
      </c>
      <c r="J12" s="16">
        <v>624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/>
      <c r="D13">
        <v>315</v>
      </c>
      <c r="E13">
        <v>22</v>
      </c>
      <c r="F13">
        <v>66</v>
      </c>
      <c r="G13">
        <v>88</v>
      </c>
      <c r="H13" s="11"/>
      <c r="I13" s="24" t="s">
        <v>15</v>
      </c>
      <c r="J13" s="25">
        <f>J12+J7</f>
        <v>636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/>
      <c r="D14">
        <v>314</v>
      </c>
      <c r="E14">
        <v>22</v>
      </c>
      <c r="F14">
        <v>66</v>
      </c>
      <c r="G14">
        <v>88</v>
      </c>
      <c r="H14" s="11"/>
      <c r="I14" s="24" t="s">
        <v>16</v>
      </c>
      <c r="J14" s="26">
        <v>627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/>
      <c r="D15">
        <v>309</v>
      </c>
      <c r="E15">
        <v>22</v>
      </c>
      <c r="F15">
        <v>64</v>
      </c>
      <c r="G15">
        <v>86</v>
      </c>
      <c r="H15" s="11"/>
      <c r="I15" s="17" t="s">
        <v>17</v>
      </c>
      <c r="J15" s="21">
        <f>J13-J14</f>
        <v>9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/>
      <c r="D16">
        <v>320</v>
      </c>
      <c r="E16">
        <v>21</v>
      </c>
      <c r="F16">
        <v>65</v>
      </c>
      <c r="G16">
        <v>86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/>
      <c r="D17">
        <v>290</v>
      </c>
      <c r="E17">
        <v>23</v>
      </c>
      <c r="F17">
        <v>65</v>
      </c>
      <c r="G17">
        <v>88</v>
      </c>
      <c r="H17" s="11"/>
      <c r="I17" s="15" t="s">
        <v>18</v>
      </c>
      <c r="J17" s="16">
        <v>50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/>
      <c r="D18">
        <v>330</v>
      </c>
      <c r="E18">
        <v>22</v>
      </c>
      <c r="F18">
        <v>66</v>
      </c>
      <c r="G18">
        <v>88</v>
      </c>
      <c r="H18" s="11"/>
      <c r="I18" s="24" t="s">
        <v>19</v>
      </c>
      <c r="J18" s="25">
        <v>48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/>
      <c r="D19">
        <v>314</v>
      </c>
      <c r="E19">
        <v>22</v>
      </c>
      <c r="F19">
        <v>67</v>
      </c>
      <c r="G19">
        <v>89</v>
      </c>
      <c r="H19" s="11"/>
      <c r="I19" s="24" t="s">
        <v>20</v>
      </c>
      <c r="J19" s="25">
        <v>27.9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6.5" x14ac:dyDescent="0.25">
      <c r="A20" s="1"/>
      <c r="B20" s="8">
        <f t="shared" si="0"/>
        <v>17</v>
      </c>
      <c r="C20" s="9"/>
      <c r="D20">
        <v>313</v>
      </c>
      <c r="F20" t="s">
        <v>26</v>
      </c>
      <c r="G20">
        <v>88</v>
      </c>
      <c r="H20" s="11"/>
      <c r="I20" s="29" t="s">
        <v>28</v>
      </c>
      <c r="J20" s="30">
        <f>J18-J19</f>
        <v>20.100000000000001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/>
      <c r="D21">
        <v>292</v>
      </c>
      <c r="E21">
        <v>23</v>
      </c>
      <c r="F21">
        <v>66</v>
      </c>
      <c r="G21">
        <v>89</v>
      </c>
      <c r="H21" s="11"/>
      <c r="I21" s="31"/>
      <c r="J21" s="32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/>
      <c r="D22">
        <v>308</v>
      </c>
      <c r="E22">
        <v>23</v>
      </c>
      <c r="F22">
        <v>68</v>
      </c>
      <c r="G22">
        <v>91</v>
      </c>
      <c r="H22" s="11"/>
      <c r="I22" s="15" t="s">
        <v>21</v>
      </c>
      <c r="J22" s="16">
        <f>COUNT(G4:G80)</f>
        <v>77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/>
      <c r="D23">
        <v>332</v>
      </c>
      <c r="E23">
        <v>22</v>
      </c>
      <c r="F23">
        <v>67</v>
      </c>
      <c r="G23">
        <v>89</v>
      </c>
      <c r="H23" s="11"/>
      <c r="I23" s="17" t="s">
        <v>22</v>
      </c>
      <c r="J23" s="21">
        <f>J15/J22</f>
        <v>0.11688311688311688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/>
      <c r="D24">
        <v>288</v>
      </c>
      <c r="E24">
        <v>23</v>
      </c>
      <c r="F24">
        <v>65</v>
      </c>
      <c r="G24">
        <v>88</v>
      </c>
      <c r="H24" s="11"/>
      <c r="I24" s="14"/>
      <c r="J24" s="33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/>
      <c r="D25">
        <v>334</v>
      </c>
      <c r="E25">
        <v>24</v>
      </c>
      <c r="F25">
        <v>66</v>
      </c>
      <c r="G25">
        <v>90</v>
      </c>
      <c r="H25" s="11"/>
      <c r="I25" s="15" t="s">
        <v>23</v>
      </c>
      <c r="J25" s="16">
        <f>AVERAGE(E4:E1048576)</f>
        <v>26.928571428571427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/>
      <c r="D26">
        <v>311</v>
      </c>
      <c r="E26">
        <v>24</v>
      </c>
      <c r="F26">
        <v>68</v>
      </c>
      <c r="G26">
        <v>92</v>
      </c>
      <c r="H26" s="11"/>
      <c r="I26" s="24" t="s">
        <v>24</v>
      </c>
      <c r="J26" s="25">
        <f>AVERAGE(F4:F1048576)</f>
        <v>66.242857142857147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/>
      <c r="D27">
        <v>307</v>
      </c>
      <c r="E27">
        <v>23</v>
      </c>
      <c r="F27">
        <v>66</v>
      </c>
      <c r="G27">
        <v>89</v>
      </c>
      <c r="H27" s="11"/>
      <c r="I27" s="17" t="s">
        <v>25</v>
      </c>
      <c r="J27" s="21">
        <f>AVERAGE(D5:D1048576)</f>
        <v>306.1645569620253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/>
      <c r="D28">
        <v>294</v>
      </c>
      <c r="E28">
        <v>23</v>
      </c>
      <c r="F28">
        <v>68</v>
      </c>
      <c r="G28">
        <v>91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/>
      <c r="D29">
        <v>325</v>
      </c>
      <c r="E29">
        <v>24</v>
      </c>
      <c r="F29">
        <v>62</v>
      </c>
      <c r="G29">
        <v>86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/>
      <c r="D30">
        <v>297</v>
      </c>
      <c r="E30">
        <v>24</v>
      </c>
      <c r="F30">
        <v>67</v>
      </c>
      <c r="G30">
        <v>91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/>
      <c r="D31">
        <v>329</v>
      </c>
      <c r="E31">
        <v>24</v>
      </c>
      <c r="F31">
        <v>64</v>
      </c>
      <c r="G31">
        <v>88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/>
      <c r="D32">
        <v>314</v>
      </c>
      <c r="E32">
        <v>24</v>
      </c>
      <c r="F32">
        <v>66</v>
      </c>
      <c r="G32">
        <v>90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/>
      <c r="D33">
        <v>289</v>
      </c>
      <c r="E33">
        <v>24</v>
      </c>
      <c r="F33">
        <v>68</v>
      </c>
      <c r="G33">
        <v>92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/>
      <c r="D34">
        <v>327</v>
      </c>
      <c r="E34">
        <v>25</v>
      </c>
      <c r="F34">
        <v>66</v>
      </c>
      <c r="G34">
        <v>91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/>
      <c r="D35">
        <v>291</v>
      </c>
      <c r="E35">
        <v>25</v>
      </c>
      <c r="F35">
        <v>65</v>
      </c>
      <c r="G35">
        <v>90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/>
      <c r="D36">
        <v>311</v>
      </c>
      <c r="E36">
        <v>24</v>
      </c>
      <c r="F36">
        <v>65</v>
      </c>
      <c r="G36">
        <v>89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/>
      <c r="D37">
        <v>311</v>
      </c>
      <c r="F37" t="s">
        <v>26</v>
      </c>
      <c r="G37">
        <v>91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/>
      <c r="D38">
        <v>308</v>
      </c>
      <c r="E38">
        <v>26</v>
      </c>
      <c r="F38">
        <v>65</v>
      </c>
      <c r="G38">
        <v>91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/>
      <c r="D39">
        <v>310</v>
      </c>
      <c r="E39">
        <v>25</v>
      </c>
      <c r="F39">
        <v>66</v>
      </c>
      <c r="G39">
        <v>91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/>
      <c r="D40">
        <v>308</v>
      </c>
      <c r="E40">
        <v>27</v>
      </c>
      <c r="F40">
        <v>66</v>
      </c>
      <c r="G40">
        <v>93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/>
      <c r="D41">
        <v>310</v>
      </c>
      <c r="E41">
        <v>25</v>
      </c>
      <c r="F41">
        <v>67</v>
      </c>
      <c r="G41">
        <v>92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/>
      <c r="D42">
        <v>302</v>
      </c>
      <c r="E42">
        <v>24</v>
      </c>
      <c r="F42">
        <v>67</v>
      </c>
      <c r="G42">
        <v>91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/>
      <c r="D43">
        <v>313</v>
      </c>
      <c r="E43">
        <v>26</v>
      </c>
      <c r="F43">
        <v>67</v>
      </c>
      <c r="G43">
        <v>93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/>
      <c r="D44">
        <v>326</v>
      </c>
      <c r="E44">
        <v>26</v>
      </c>
      <c r="F44">
        <v>66</v>
      </c>
      <c r="G44">
        <v>92</v>
      </c>
      <c r="H44" s="11"/>
      <c r="I44" s="11"/>
      <c r="J44" s="11"/>
      <c r="K44" s="11"/>
      <c r="L44" s="11"/>
      <c r="M44" s="1"/>
      <c r="N44" s="1"/>
      <c r="O44" s="1" t="s">
        <v>26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/>
      <c r="D45">
        <v>287</v>
      </c>
      <c r="E45">
        <v>25</v>
      </c>
      <c r="F45">
        <v>66</v>
      </c>
      <c r="G45">
        <v>91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/>
      <c r="D46">
        <v>305</v>
      </c>
      <c r="E46">
        <v>26</v>
      </c>
      <c r="F46">
        <v>65</v>
      </c>
      <c r="G46">
        <v>91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/>
      <c r="D47">
        <v>330</v>
      </c>
      <c r="F47" t="s">
        <v>26</v>
      </c>
      <c r="G47">
        <v>91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/>
      <c r="D48">
        <v>290</v>
      </c>
      <c r="F48" t="s">
        <v>26</v>
      </c>
      <c r="G48">
        <v>91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/>
      <c r="D49">
        <v>313</v>
      </c>
      <c r="E49">
        <v>25</v>
      </c>
      <c r="F49">
        <v>66</v>
      </c>
      <c r="G49">
        <v>91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/>
      <c r="D50">
        <v>307</v>
      </c>
      <c r="E50">
        <v>26</v>
      </c>
      <c r="F50">
        <v>64</v>
      </c>
      <c r="G50">
        <v>90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/>
      <c r="D51">
        <v>311</v>
      </c>
      <c r="E51">
        <v>26</v>
      </c>
      <c r="F51">
        <v>67</v>
      </c>
      <c r="G51">
        <v>93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/>
      <c r="D52">
        <v>307</v>
      </c>
      <c r="E52">
        <v>26</v>
      </c>
      <c r="F52">
        <v>64</v>
      </c>
      <c r="G52">
        <v>90</v>
      </c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/>
      <c r="D53">
        <v>314</v>
      </c>
      <c r="F53" t="s">
        <v>26</v>
      </c>
      <c r="G53">
        <v>91</v>
      </c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/>
      <c r="D54">
        <v>305</v>
      </c>
      <c r="E54">
        <v>28</v>
      </c>
      <c r="F54">
        <v>69</v>
      </c>
      <c r="G54">
        <v>97</v>
      </c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/>
      <c r="D55">
        <v>309</v>
      </c>
      <c r="E55">
        <v>27</v>
      </c>
      <c r="F55">
        <v>66</v>
      </c>
      <c r="G55">
        <v>93</v>
      </c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/>
      <c r="D56">
        <v>301</v>
      </c>
      <c r="F56" t="s">
        <v>26</v>
      </c>
      <c r="G56">
        <v>92</v>
      </c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/>
      <c r="D57">
        <v>308</v>
      </c>
      <c r="E57">
        <v>26</v>
      </c>
      <c r="F57">
        <v>66</v>
      </c>
      <c r="G57">
        <v>92</v>
      </c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/>
      <c r="D58">
        <v>310</v>
      </c>
      <c r="E58">
        <v>28</v>
      </c>
      <c r="F58">
        <v>67</v>
      </c>
      <c r="G58">
        <v>95</v>
      </c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/>
      <c r="D59">
        <v>305</v>
      </c>
      <c r="E59">
        <v>27</v>
      </c>
      <c r="F59">
        <v>66</v>
      </c>
      <c r="G59">
        <v>93</v>
      </c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/>
      <c r="D60">
        <v>305</v>
      </c>
      <c r="E60">
        <v>27</v>
      </c>
      <c r="F60">
        <v>67</v>
      </c>
      <c r="G60">
        <v>94</v>
      </c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/>
      <c r="D61">
        <v>306</v>
      </c>
      <c r="F61" t="s">
        <v>26</v>
      </c>
      <c r="G61">
        <v>95</v>
      </c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/>
      <c r="D62">
        <v>306</v>
      </c>
      <c r="E62">
        <v>30</v>
      </c>
      <c r="F62">
        <v>66</v>
      </c>
      <c r="G62">
        <v>96</v>
      </c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/>
      <c r="D63">
        <v>304</v>
      </c>
      <c r="E63">
        <v>30</v>
      </c>
      <c r="F63">
        <v>65</v>
      </c>
      <c r="G63">
        <v>95</v>
      </c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/>
      <c r="D64">
        <v>306</v>
      </c>
      <c r="E64">
        <v>30</v>
      </c>
      <c r="F64">
        <v>64</v>
      </c>
      <c r="G64">
        <v>94</v>
      </c>
      <c r="H64" s="11"/>
      <c r="I64" s="34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/>
      <c r="D65">
        <v>308</v>
      </c>
      <c r="E65">
        <v>30</v>
      </c>
      <c r="F65">
        <v>66</v>
      </c>
      <c r="G65">
        <v>96</v>
      </c>
      <c r="H65" s="11"/>
      <c r="I65" s="34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/>
      <c r="D66">
        <v>303</v>
      </c>
      <c r="E66">
        <v>31</v>
      </c>
      <c r="F66">
        <v>65</v>
      </c>
      <c r="G66">
        <v>96</v>
      </c>
      <c r="H66" s="11"/>
      <c r="I66" s="34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35"/>
      <c r="D67">
        <v>303</v>
      </c>
      <c r="E67">
        <v>32</v>
      </c>
      <c r="F67">
        <v>67</v>
      </c>
      <c r="G67">
        <v>99</v>
      </c>
      <c r="H67" s="11"/>
      <c r="I67" s="34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/>
      <c r="D68">
        <v>303</v>
      </c>
      <c r="E68">
        <v>32</v>
      </c>
      <c r="F68">
        <v>65</v>
      </c>
      <c r="G68">
        <v>97</v>
      </c>
      <c r="H68" s="11"/>
      <c r="I68" s="34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35"/>
      <c r="D69">
        <v>301</v>
      </c>
      <c r="E69">
        <v>33</v>
      </c>
      <c r="F69">
        <v>64</v>
      </c>
      <c r="G69">
        <v>97</v>
      </c>
      <c r="H69" s="11"/>
      <c r="I69" s="34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/>
      <c r="D70">
        <v>304</v>
      </c>
      <c r="E70">
        <v>33</v>
      </c>
      <c r="F70">
        <v>66</v>
      </c>
      <c r="G70">
        <v>99</v>
      </c>
      <c r="H70" s="11"/>
      <c r="I70" s="34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35"/>
      <c r="D71">
        <v>300</v>
      </c>
      <c r="E71">
        <v>34</v>
      </c>
      <c r="F71">
        <v>66</v>
      </c>
      <c r="G71">
        <v>100</v>
      </c>
      <c r="H71" s="11"/>
      <c r="I71" s="34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35"/>
      <c r="D72">
        <v>298</v>
      </c>
      <c r="E72">
        <v>37</v>
      </c>
      <c r="F72">
        <v>68</v>
      </c>
      <c r="G72">
        <v>105</v>
      </c>
      <c r="H72" s="11"/>
      <c r="I72" s="34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/>
      <c r="D73">
        <v>299</v>
      </c>
      <c r="E73">
        <v>37</v>
      </c>
      <c r="F73">
        <v>67</v>
      </c>
      <c r="G73">
        <v>104</v>
      </c>
      <c r="H73" s="11"/>
      <c r="I73" s="34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/>
      <c r="D74">
        <v>291</v>
      </c>
      <c r="E74">
        <v>38</v>
      </c>
      <c r="F74">
        <v>67</v>
      </c>
      <c r="G74">
        <v>105</v>
      </c>
      <c r="H74" s="11"/>
      <c r="I74" s="34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/>
      <c r="D75">
        <v>295</v>
      </c>
      <c r="E75">
        <v>38</v>
      </c>
      <c r="F75">
        <v>67</v>
      </c>
      <c r="G75">
        <v>105</v>
      </c>
      <c r="H75" s="11"/>
      <c r="I75" s="34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/>
      <c r="D76">
        <v>298</v>
      </c>
      <c r="E76">
        <v>40</v>
      </c>
      <c r="F76">
        <v>67</v>
      </c>
      <c r="G76">
        <v>107</v>
      </c>
      <c r="H76" s="11"/>
      <c r="I76" s="34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/>
      <c r="D77">
        <v>290</v>
      </c>
      <c r="E77">
        <v>37</v>
      </c>
      <c r="F77">
        <v>69</v>
      </c>
      <c r="G77">
        <v>106</v>
      </c>
      <c r="H77" s="11"/>
      <c r="I77" s="34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/>
      <c r="D78">
        <v>298</v>
      </c>
      <c r="E78">
        <v>39</v>
      </c>
      <c r="F78">
        <v>70</v>
      </c>
      <c r="G78">
        <v>109</v>
      </c>
      <c r="H78" s="11"/>
      <c r="I78" s="34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/>
      <c r="D79">
        <v>287</v>
      </c>
      <c r="E79">
        <v>43</v>
      </c>
      <c r="F79">
        <v>70</v>
      </c>
      <c r="G79">
        <v>113</v>
      </c>
      <c r="H79" s="11"/>
      <c r="I79" s="34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/>
      <c r="D80">
        <v>287</v>
      </c>
      <c r="E80">
        <v>43</v>
      </c>
      <c r="F80">
        <v>70</v>
      </c>
      <c r="G80">
        <v>113</v>
      </c>
      <c r="H80" s="11"/>
      <c r="I80" s="34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/>
      <c r="D81">
        <v>288</v>
      </c>
      <c r="F81" t="s">
        <v>26</v>
      </c>
      <c r="G81">
        <v>120</v>
      </c>
      <c r="H81" s="11"/>
      <c r="I81" s="34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/>
      <c r="D82">
        <v>277</v>
      </c>
      <c r="F82" t="s">
        <v>26</v>
      </c>
      <c r="G82">
        <v>123</v>
      </c>
      <c r="H82" s="11"/>
      <c r="I82" s="34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/>
      <c r="D83">
        <v>277</v>
      </c>
      <c r="F83" t="s">
        <v>26</v>
      </c>
      <c r="G83">
        <v>123</v>
      </c>
      <c r="H83" s="11"/>
      <c r="I83" s="34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/>
      <c r="D84" s="38"/>
      <c r="E84" s="10"/>
      <c r="F84" s="10"/>
      <c r="G84" s="38"/>
      <c r="H84" s="11"/>
      <c r="I84" s="34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/>
      <c r="D85" s="38"/>
      <c r="E85" s="10"/>
      <c r="F85" s="10"/>
      <c r="G85" s="38"/>
      <c r="H85" s="11"/>
      <c r="I85" s="34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35"/>
      <c r="D86" s="36"/>
      <c r="E86" s="37"/>
      <c r="F86" s="37"/>
      <c r="G86" s="36"/>
      <c r="H86" s="11"/>
      <c r="I86" s="34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D87" s="39"/>
      <c r="E87" s="8"/>
      <c r="F87" s="8"/>
      <c r="G87" s="8"/>
      <c r="H87" s="11"/>
      <c r="I87" s="34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D88" s="39"/>
      <c r="E88" s="8"/>
      <c r="F88" s="8"/>
      <c r="G88" s="8"/>
      <c r="H88" s="11"/>
      <c r="I88" s="40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D89" s="39"/>
      <c r="E89" s="8"/>
      <c r="F89" s="8"/>
      <c r="G89" s="8"/>
      <c r="H89" s="11"/>
      <c r="I89" s="40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D90" s="39"/>
      <c r="E90" s="8"/>
      <c r="F90" s="8"/>
      <c r="G90" s="8"/>
      <c r="H90" s="11"/>
      <c r="I90" s="40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D91" s="41"/>
      <c r="E91" s="8"/>
      <c r="F91" s="8"/>
      <c r="G91" s="8"/>
      <c r="H91" s="11"/>
      <c r="I91" s="40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D92" s="39"/>
      <c r="E92" s="8"/>
      <c r="F92" s="8"/>
      <c r="G92" s="8"/>
      <c r="H92" s="11"/>
      <c r="I92" s="34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D93" s="39"/>
      <c r="E93" s="8"/>
      <c r="F93" s="8"/>
      <c r="G93" s="8"/>
      <c r="H93" s="11"/>
      <c r="I93" s="40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D94" s="41"/>
      <c r="E94" s="8"/>
      <c r="F94" s="8"/>
      <c r="G94" s="8"/>
      <c r="H94" s="11"/>
      <c r="I94" s="40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 s="41"/>
      <c r="E95" s="8"/>
      <c r="F95" s="8"/>
      <c r="G95" s="8"/>
      <c r="H95" s="11"/>
      <c r="I95" s="34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 s="41"/>
      <c r="E96" s="8"/>
      <c r="F96" s="8"/>
      <c r="G96" s="8"/>
      <c r="H96" s="11"/>
      <c r="I96" s="34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4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ime_x000d__x000a__x000d__x000a_TBL_HST[TIME]" sqref="C4:C86" xr:uid="{3855891A-38ED-4A9E-8ED8-AB3184947E83}"/>
    <dataValidation allowBlank="1" showInputMessage="1" showErrorMessage="1" prompt="TBL_HST[CH1]" sqref="D4:D86" xr:uid="{F0D73126-083B-4764-942C-FB22892BB762}"/>
    <dataValidation allowBlank="1" showInputMessage="1" showErrorMessage="1" prompt="TBL_HST[CH4]" sqref="G4:G86" xr:uid="{CE0BD32B-FF99-43F8-93B0-B562A90AFE56}"/>
    <dataValidation allowBlank="1" showInputMessage="1" showErrorMessage="1" prompt="TBL_HST[CH2]" sqref="E4:E86" xr:uid="{2C7E9E7D-3F44-47AC-A081-C273BBFF2887}"/>
    <dataValidation allowBlank="1" showInputMessage="1" showErrorMessage="1" prompt="TBL_HST[CH3]" sqref="F4:F86" xr:uid="{00F61DBF-ABE2-4161-ABC7-E0C11CEC27A0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7D17A-4D17-4F42-980D-2F30398AC8FE}">
  <sheetPr codeName="Sheet12"/>
  <dimension ref="A1:AH2445"/>
  <sheetViews>
    <sheetView topLeftCell="B1" zoomScaleNormal="100" workbookViewId="0">
      <selection activeCell="I45" sqref="I45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/>
      <c r="D4">
        <v>6317</v>
      </c>
      <c r="E4">
        <v>19</v>
      </c>
      <c r="F4">
        <v>61</v>
      </c>
      <c r="G4">
        <v>80</v>
      </c>
      <c r="H4" s="11"/>
      <c r="I4" s="12" t="s">
        <v>8</v>
      </c>
      <c r="J4" s="13">
        <v>3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/>
      <c r="D5">
        <v>340</v>
      </c>
      <c r="E5">
        <v>20</v>
      </c>
      <c r="F5">
        <v>66</v>
      </c>
      <c r="G5">
        <v>86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/>
      <c r="D6">
        <v>312</v>
      </c>
      <c r="E6">
        <v>19</v>
      </c>
      <c r="F6">
        <v>64</v>
      </c>
      <c r="G6">
        <v>83</v>
      </c>
      <c r="H6" s="11"/>
      <c r="I6" s="15" t="s">
        <v>9</v>
      </c>
      <c r="J6" s="16" t="s">
        <v>27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/>
      <c r="D7">
        <v>321</v>
      </c>
      <c r="E7">
        <v>21</v>
      </c>
      <c r="F7">
        <v>64</v>
      </c>
      <c r="G7">
        <v>85</v>
      </c>
      <c r="H7" s="11"/>
      <c r="I7" s="17" t="s">
        <v>10</v>
      </c>
      <c r="J7" s="18">
        <v>12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/>
      <c r="D8">
        <v>317</v>
      </c>
      <c r="F8" t="s">
        <v>26</v>
      </c>
      <c r="G8">
        <v>83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/>
      <c r="D9">
        <v>317</v>
      </c>
      <c r="E9">
        <v>21</v>
      </c>
      <c r="F9">
        <v>63</v>
      </c>
      <c r="G9">
        <v>84</v>
      </c>
      <c r="H9" s="11"/>
      <c r="I9" s="15" t="s">
        <v>11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/>
      <c r="D10">
        <v>317</v>
      </c>
      <c r="E10">
        <v>21</v>
      </c>
      <c r="F10">
        <v>67</v>
      </c>
      <c r="G10">
        <v>88</v>
      </c>
      <c r="H10" s="11"/>
      <c r="I10" s="17" t="s">
        <v>12</v>
      </c>
      <c r="J10" s="21" t="s">
        <v>13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/>
      <c r="D11">
        <v>313</v>
      </c>
      <c r="E11">
        <v>20</v>
      </c>
      <c r="F11">
        <v>65</v>
      </c>
      <c r="G11">
        <v>85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/>
      <c r="D12">
        <v>317</v>
      </c>
      <c r="E12">
        <v>21</v>
      </c>
      <c r="F12">
        <v>63</v>
      </c>
      <c r="G12">
        <v>84</v>
      </c>
      <c r="H12" s="11"/>
      <c r="I12" s="15" t="s">
        <v>14</v>
      </c>
      <c r="J12" s="16">
        <v>624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/>
      <c r="D13">
        <v>319</v>
      </c>
      <c r="E13">
        <v>20</v>
      </c>
      <c r="F13">
        <v>64</v>
      </c>
      <c r="G13">
        <v>84</v>
      </c>
      <c r="H13" s="11"/>
      <c r="I13" s="24" t="s">
        <v>15</v>
      </c>
      <c r="J13" s="25">
        <f>J12+J7</f>
        <v>636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/>
      <c r="D14">
        <v>319</v>
      </c>
      <c r="E14">
        <v>21</v>
      </c>
      <c r="F14">
        <v>65</v>
      </c>
      <c r="G14">
        <v>86</v>
      </c>
      <c r="H14" s="11"/>
      <c r="I14" s="24" t="s">
        <v>16</v>
      </c>
      <c r="J14" s="26">
        <v>627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/>
      <c r="D15">
        <v>314</v>
      </c>
      <c r="E15">
        <v>20</v>
      </c>
      <c r="F15">
        <v>66</v>
      </c>
      <c r="G15">
        <v>86</v>
      </c>
      <c r="H15" s="11"/>
      <c r="I15" s="17" t="s">
        <v>17</v>
      </c>
      <c r="J15" s="21">
        <f>J13-J14</f>
        <v>9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/>
      <c r="D16">
        <v>312</v>
      </c>
      <c r="E16">
        <v>22</v>
      </c>
      <c r="F16">
        <v>67</v>
      </c>
      <c r="G16">
        <v>89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/>
      <c r="D17">
        <v>313</v>
      </c>
      <c r="E17">
        <v>22</v>
      </c>
      <c r="F17">
        <v>64</v>
      </c>
      <c r="G17">
        <v>86</v>
      </c>
      <c r="H17" s="11"/>
      <c r="I17" s="15" t="s">
        <v>18</v>
      </c>
      <c r="J17" s="16">
        <v>51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/>
      <c r="D18">
        <v>315</v>
      </c>
      <c r="E18">
        <v>21</v>
      </c>
      <c r="F18">
        <v>65</v>
      </c>
      <c r="G18">
        <v>86</v>
      </c>
      <c r="H18" s="11"/>
      <c r="I18" s="24" t="s">
        <v>19</v>
      </c>
      <c r="J18" s="25">
        <v>48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/>
      <c r="D19">
        <v>318</v>
      </c>
      <c r="E19">
        <v>22</v>
      </c>
      <c r="F19">
        <v>65</v>
      </c>
      <c r="G19">
        <v>87</v>
      </c>
      <c r="H19" s="11"/>
      <c r="I19" s="24" t="s">
        <v>20</v>
      </c>
      <c r="J19" s="25">
        <v>28.2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6.5" x14ac:dyDescent="0.25">
      <c r="A20" s="1"/>
      <c r="B20" s="8">
        <f t="shared" si="0"/>
        <v>17</v>
      </c>
      <c r="C20" s="9"/>
      <c r="D20">
        <v>311</v>
      </c>
      <c r="F20" t="s">
        <v>26</v>
      </c>
      <c r="G20">
        <v>86</v>
      </c>
      <c r="H20" s="11"/>
      <c r="I20" s="29" t="s">
        <v>28</v>
      </c>
      <c r="J20" s="30">
        <f>J18-J19</f>
        <v>19.8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/>
      <c r="D21">
        <v>315</v>
      </c>
      <c r="E21">
        <v>22</v>
      </c>
      <c r="F21">
        <v>66</v>
      </c>
      <c r="G21">
        <v>88</v>
      </c>
      <c r="H21" s="11"/>
      <c r="I21" s="31"/>
      <c r="J21" s="32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/>
      <c r="D22">
        <v>314</v>
      </c>
      <c r="E22">
        <v>22</v>
      </c>
      <c r="F22">
        <v>67</v>
      </c>
      <c r="G22">
        <v>89</v>
      </c>
      <c r="H22" s="11"/>
      <c r="I22" s="15" t="s">
        <v>21</v>
      </c>
      <c r="J22" s="16">
        <f>COUNT(G4:G77)</f>
        <v>74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/>
      <c r="D23">
        <v>310</v>
      </c>
      <c r="E23">
        <v>21</v>
      </c>
      <c r="F23">
        <v>67</v>
      </c>
      <c r="G23">
        <v>88</v>
      </c>
      <c r="H23" s="11"/>
      <c r="I23" s="17" t="s">
        <v>22</v>
      </c>
      <c r="J23" s="21">
        <f>J15/J22</f>
        <v>0.12162162162162163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/>
      <c r="D24">
        <v>313</v>
      </c>
      <c r="E24">
        <v>22</v>
      </c>
      <c r="F24">
        <v>65</v>
      </c>
      <c r="G24">
        <v>87</v>
      </c>
      <c r="H24" s="11"/>
      <c r="I24" s="14"/>
      <c r="J24" s="33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/>
      <c r="D25">
        <v>314</v>
      </c>
      <c r="E25">
        <v>21</v>
      </c>
      <c r="F25">
        <v>66</v>
      </c>
      <c r="G25">
        <v>87</v>
      </c>
      <c r="H25" s="11"/>
      <c r="I25" s="15" t="s">
        <v>23</v>
      </c>
      <c r="J25" s="16">
        <f>AVERAGE(E4:E1048576)</f>
        <v>26.560606060606062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/>
      <c r="D26">
        <v>314</v>
      </c>
      <c r="E26">
        <v>22</v>
      </c>
      <c r="F26">
        <v>67</v>
      </c>
      <c r="G26">
        <v>89</v>
      </c>
      <c r="H26" s="11"/>
      <c r="I26" s="24" t="s">
        <v>24</v>
      </c>
      <c r="J26" s="25">
        <f>AVERAGE(F4:F1048576)</f>
        <v>66.893939393939391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/>
      <c r="D27">
        <v>290</v>
      </c>
      <c r="E27">
        <v>21</v>
      </c>
      <c r="F27">
        <v>70</v>
      </c>
      <c r="G27">
        <v>91</v>
      </c>
      <c r="H27" s="11"/>
      <c r="I27" s="17" t="s">
        <v>25</v>
      </c>
      <c r="J27" s="21">
        <f>AVERAGE(D5:D1048576)</f>
        <v>306.51315789473682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/>
      <c r="D28">
        <v>330</v>
      </c>
      <c r="F28" t="s">
        <v>26</v>
      </c>
      <c r="G28">
        <v>88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/>
      <c r="D29">
        <v>292</v>
      </c>
      <c r="E29">
        <v>23</v>
      </c>
      <c r="F29">
        <v>68</v>
      </c>
      <c r="G29">
        <v>91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/>
      <c r="D30">
        <v>306</v>
      </c>
      <c r="E30">
        <v>23</v>
      </c>
      <c r="F30">
        <v>66</v>
      </c>
      <c r="G30">
        <v>89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/>
      <c r="D31">
        <v>334</v>
      </c>
      <c r="E31">
        <v>22</v>
      </c>
      <c r="F31">
        <v>67</v>
      </c>
      <c r="G31">
        <v>89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/>
      <c r="D32">
        <v>298</v>
      </c>
      <c r="E32">
        <v>24</v>
      </c>
      <c r="F32">
        <v>68</v>
      </c>
      <c r="G32">
        <v>92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/>
      <c r="D33">
        <v>321</v>
      </c>
      <c r="E33">
        <v>22</v>
      </c>
      <c r="F33">
        <v>67</v>
      </c>
      <c r="G33">
        <v>89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/>
      <c r="D34">
        <v>312</v>
      </c>
      <c r="E34">
        <v>23</v>
      </c>
      <c r="F34">
        <v>68</v>
      </c>
      <c r="G34">
        <v>91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/>
      <c r="D35">
        <v>310</v>
      </c>
      <c r="E35">
        <v>23</v>
      </c>
      <c r="F35">
        <v>71</v>
      </c>
      <c r="G35">
        <v>94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/>
      <c r="D36">
        <v>287</v>
      </c>
      <c r="F36" t="s">
        <v>26</v>
      </c>
      <c r="G36">
        <v>89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/>
      <c r="D37">
        <v>311</v>
      </c>
      <c r="E37">
        <v>23</v>
      </c>
      <c r="F37">
        <v>70</v>
      </c>
      <c r="G37">
        <v>93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/>
      <c r="D38">
        <v>305</v>
      </c>
      <c r="E38">
        <v>24</v>
      </c>
      <c r="F38">
        <v>67</v>
      </c>
      <c r="G38">
        <v>91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/>
      <c r="D39">
        <v>310</v>
      </c>
      <c r="E39">
        <v>24</v>
      </c>
      <c r="F39">
        <v>67</v>
      </c>
      <c r="G39">
        <v>91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/>
      <c r="D40">
        <v>329</v>
      </c>
      <c r="E40">
        <v>25</v>
      </c>
      <c r="F40">
        <v>67</v>
      </c>
      <c r="G40">
        <v>92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/>
      <c r="D41">
        <v>290</v>
      </c>
      <c r="E41">
        <v>25</v>
      </c>
      <c r="F41">
        <v>66</v>
      </c>
      <c r="G41">
        <v>91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/>
      <c r="D42">
        <v>329</v>
      </c>
      <c r="E42">
        <v>25</v>
      </c>
      <c r="F42">
        <v>67</v>
      </c>
      <c r="G42">
        <v>92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/>
      <c r="D43">
        <v>289</v>
      </c>
      <c r="E43">
        <v>25</v>
      </c>
      <c r="F43">
        <v>68</v>
      </c>
      <c r="G43">
        <v>93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/>
      <c r="D44">
        <v>322</v>
      </c>
      <c r="E44">
        <v>24</v>
      </c>
      <c r="F44">
        <v>71</v>
      </c>
      <c r="G44">
        <v>95</v>
      </c>
      <c r="H44" s="11"/>
      <c r="I44" s="11"/>
      <c r="J44" s="11"/>
      <c r="K44" s="11"/>
      <c r="L44" s="11"/>
      <c r="M44" s="1"/>
      <c r="N44" s="1"/>
      <c r="O44" s="1" t="s">
        <v>26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/>
      <c r="D45">
        <v>289</v>
      </c>
      <c r="E45">
        <v>24</v>
      </c>
      <c r="F45">
        <v>69</v>
      </c>
      <c r="G45">
        <v>93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/>
      <c r="D46">
        <v>324</v>
      </c>
      <c r="E46">
        <v>24</v>
      </c>
      <c r="F46">
        <v>70</v>
      </c>
      <c r="G46">
        <v>94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/>
      <c r="D47">
        <v>289</v>
      </c>
      <c r="E47">
        <v>26</v>
      </c>
      <c r="F47">
        <v>68</v>
      </c>
      <c r="G47">
        <v>94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/>
      <c r="D48">
        <v>303</v>
      </c>
      <c r="E48">
        <v>26</v>
      </c>
      <c r="F48">
        <v>68</v>
      </c>
      <c r="G48">
        <v>94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/>
      <c r="D49">
        <v>306</v>
      </c>
      <c r="F49" t="s">
        <v>26</v>
      </c>
      <c r="G49">
        <v>93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/>
      <c r="D50">
        <v>309</v>
      </c>
      <c r="F50" t="s">
        <v>26</v>
      </c>
      <c r="G50">
        <v>93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/>
      <c r="D51">
        <v>325</v>
      </c>
      <c r="E51">
        <v>26</v>
      </c>
      <c r="F51">
        <v>69</v>
      </c>
      <c r="G51">
        <v>95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/>
      <c r="D52">
        <v>285</v>
      </c>
      <c r="E52">
        <v>27</v>
      </c>
      <c r="F52">
        <v>69</v>
      </c>
      <c r="G52">
        <v>96</v>
      </c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/>
      <c r="D53">
        <v>329</v>
      </c>
      <c r="F53" t="s">
        <v>26</v>
      </c>
      <c r="G53">
        <v>96</v>
      </c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/>
      <c r="D54">
        <v>301</v>
      </c>
      <c r="E54">
        <v>27</v>
      </c>
      <c r="F54">
        <v>70</v>
      </c>
      <c r="G54">
        <v>97</v>
      </c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/>
      <c r="D55">
        <v>279</v>
      </c>
      <c r="F55" t="s">
        <v>26</v>
      </c>
      <c r="G55">
        <v>97</v>
      </c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/>
      <c r="D56">
        <v>324</v>
      </c>
      <c r="E56">
        <v>29</v>
      </c>
      <c r="F56">
        <v>68</v>
      </c>
      <c r="G56">
        <v>97</v>
      </c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/>
      <c r="D57">
        <v>302</v>
      </c>
      <c r="E57">
        <v>28</v>
      </c>
      <c r="F57">
        <v>66</v>
      </c>
      <c r="G57">
        <v>94</v>
      </c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/>
      <c r="D58">
        <v>304</v>
      </c>
      <c r="E58">
        <v>30</v>
      </c>
      <c r="F58">
        <v>66</v>
      </c>
      <c r="G58">
        <v>96</v>
      </c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/>
      <c r="D59">
        <v>286</v>
      </c>
      <c r="E59">
        <v>30</v>
      </c>
      <c r="F59">
        <v>66</v>
      </c>
      <c r="G59">
        <v>96</v>
      </c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/>
      <c r="D60">
        <v>301</v>
      </c>
      <c r="E60">
        <v>30</v>
      </c>
      <c r="F60">
        <v>65</v>
      </c>
      <c r="G60">
        <v>95</v>
      </c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/>
      <c r="D61">
        <v>326</v>
      </c>
      <c r="E61">
        <v>31</v>
      </c>
      <c r="F61">
        <v>65</v>
      </c>
      <c r="G61">
        <v>96</v>
      </c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/>
      <c r="D62">
        <v>304</v>
      </c>
      <c r="E62">
        <v>31</v>
      </c>
      <c r="F62">
        <v>66</v>
      </c>
      <c r="G62">
        <v>97</v>
      </c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/>
      <c r="D63">
        <v>286</v>
      </c>
      <c r="E63">
        <v>32</v>
      </c>
      <c r="F63">
        <v>67</v>
      </c>
      <c r="G63">
        <v>99</v>
      </c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/>
      <c r="D64">
        <v>302</v>
      </c>
      <c r="E64">
        <v>32</v>
      </c>
      <c r="F64">
        <v>66</v>
      </c>
      <c r="G64">
        <v>98</v>
      </c>
      <c r="H64" s="11"/>
      <c r="I64" s="34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/>
      <c r="D65">
        <v>322</v>
      </c>
      <c r="E65">
        <v>33</v>
      </c>
      <c r="F65">
        <v>66</v>
      </c>
      <c r="G65">
        <v>99</v>
      </c>
      <c r="H65" s="11"/>
      <c r="I65" s="34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/>
      <c r="D66">
        <v>299</v>
      </c>
      <c r="E66">
        <v>33</v>
      </c>
      <c r="F66">
        <v>66</v>
      </c>
      <c r="G66">
        <v>99</v>
      </c>
      <c r="H66" s="11"/>
      <c r="I66" s="34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35"/>
      <c r="D67">
        <v>300</v>
      </c>
      <c r="E67">
        <v>35</v>
      </c>
      <c r="F67">
        <v>66</v>
      </c>
      <c r="G67">
        <v>101</v>
      </c>
      <c r="H67" s="11"/>
      <c r="I67" s="34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/>
      <c r="D68">
        <v>300</v>
      </c>
      <c r="E68">
        <v>35</v>
      </c>
      <c r="F68">
        <v>67</v>
      </c>
      <c r="G68">
        <v>102</v>
      </c>
      <c r="H68" s="11"/>
      <c r="I68" s="34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35"/>
      <c r="D69">
        <v>295</v>
      </c>
      <c r="E69">
        <v>35</v>
      </c>
      <c r="F69">
        <v>67</v>
      </c>
      <c r="G69">
        <v>102</v>
      </c>
      <c r="H69" s="11"/>
      <c r="I69" s="34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/>
      <c r="D70">
        <v>296</v>
      </c>
      <c r="E70">
        <v>37</v>
      </c>
      <c r="F70">
        <v>68</v>
      </c>
      <c r="G70">
        <v>105</v>
      </c>
      <c r="H70" s="11"/>
      <c r="I70" s="34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35"/>
      <c r="D71">
        <v>274</v>
      </c>
      <c r="E71">
        <v>39</v>
      </c>
      <c r="F71">
        <v>69</v>
      </c>
      <c r="G71">
        <v>108</v>
      </c>
      <c r="H71" s="11"/>
      <c r="I71" s="34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35"/>
      <c r="D72">
        <v>293</v>
      </c>
      <c r="E72">
        <v>37</v>
      </c>
      <c r="F72">
        <v>67</v>
      </c>
      <c r="G72">
        <v>104</v>
      </c>
      <c r="H72" s="11"/>
      <c r="I72" s="34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/>
      <c r="D73">
        <v>314</v>
      </c>
      <c r="E73">
        <v>41</v>
      </c>
      <c r="F73">
        <v>70</v>
      </c>
      <c r="G73">
        <v>111</v>
      </c>
      <c r="H73" s="11"/>
      <c r="I73" s="34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/>
      <c r="D74">
        <v>268</v>
      </c>
      <c r="E74">
        <v>38</v>
      </c>
      <c r="F74">
        <v>69</v>
      </c>
      <c r="G74">
        <v>107</v>
      </c>
      <c r="H74" s="11"/>
      <c r="I74" s="34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/>
      <c r="D75">
        <v>293</v>
      </c>
      <c r="E75">
        <v>38</v>
      </c>
      <c r="F75">
        <v>66</v>
      </c>
      <c r="G75">
        <v>104</v>
      </c>
      <c r="H75" s="11"/>
      <c r="I75" s="34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/>
      <c r="D76">
        <v>295</v>
      </c>
      <c r="E76">
        <v>40</v>
      </c>
      <c r="F76">
        <v>71</v>
      </c>
      <c r="G76">
        <v>111</v>
      </c>
      <c r="H76" s="11"/>
      <c r="I76" s="34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/>
      <c r="D77">
        <v>289</v>
      </c>
      <c r="E77">
        <v>43</v>
      </c>
      <c r="F77">
        <v>70</v>
      </c>
      <c r="G77">
        <v>113</v>
      </c>
      <c r="H77" s="11"/>
      <c r="I77" s="34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/>
      <c r="D78">
        <v>287</v>
      </c>
      <c r="F78" t="s">
        <v>26</v>
      </c>
      <c r="G78">
        <v>122</v>
      </c>
      <c r="H78" s="11"/>
      <c r="I78" s="34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/>
      <c r="D79">
        <v>298</v>
      </c>
      <c r="F79" t="s">
        <v>26</v>
      </c>
      <c r="G79">
        <v>124</v>
      </c>
      <c r="H79" s="11"/>
      <c r="I79" s="34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/>
      <c r="D80">
        <v>278</v>
      </c>
      <c r="F80" t="s">
        <v>26</v>
      </c>
      <c r="G80">
        <v>121</v>
      </c>
      <c r="H80" s="11"/>
      <c r="I80" s="34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/>
      <c r="H81" s="11"/>
      <c r="I81" s="34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/>
      <c r="H82" s="11"/>
      <c r="I82" s="34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/>
      <c r="H83" s="11"/>
      <c r="I83" s="34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/>
      <c r="D84" s="38"/>
      <c r="E84" s="10"/>
      <c r="F84" s="10"/>
      <c r="G84" s="38"/>
      <c r="H84" s="11"/>
      <c r="I84" s="34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/>
      <c r="D85" s="38"/>
      <c r="E85" s="10"/>
      <c r="F85" s="10"/>
      <c r="G85" s="38"/>
      <c r="H85" s="11"/>
      <c r="I85" s="34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35"/>
      <c r="D86" s="36"/>
      <c r="E86" s="37"/>
      <c r="F86" s="37"/>
      <c r="G86" s="36"/>
      <c r="H86" s="11"/>
      <c r="I86" s="34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D87" s="39"/>
      <c r="E87" s="8"/>
      <c r="F87" s="8"/>
      <c r="G87" s="8"/>
      <c r="H87" s="11"/>
      <c r="I87" s="34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D88" s="39"/>
      <c r="E88" s="8"/>
      <c r="F88" s="8"/>
      <c r="G88" s="8"/>
      <c r="H88" s="11"/>
      <c r="I88" s="40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D89" s="39"/>
      <c r="E89" s="8"/>
      <c r="F89" s="8"/>
      <c r="G89" s="8"/>
      <c r="H89" s="11"/>
      <c r="I89" s="40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D90" s="39"/>
      <c r="E90" s="8"/>
      <c r="F90" s="8"/>
      <c r="G90" s="8"/>
      <c r="H90" s="11"/>
      <c r="I90" s="40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D91" s="41"/>
      <c r="E91" s="8"/>
      <c r="F91" s="8"/>
      <c r="G91" s="8"/>
      <c r="H91" s="11"/>
      <c r="I91" s="40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D92" s="39"/>
      <c r="E92" s="8"/>
      <c r="F92" s="8"/>
      <c r="G92" s="8"/>
      <c r="H92" s="11"/>
      <c r="I92" s="34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D93" s="39"/>
      <c r="E93" s="8"/>
      <c r="F93" s="8"/>
      <c r="G93" s="8"/>
      <c r="H93" s="11"/>
      <c r="I93" s="40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D94" s="41"/>
      <c r="E94" s="8"/>
      <c r="F94" s="8"/>
      <c r="G94" s="8"/>
      <c r="H94" s="11"/>
      <c r="I94" s="40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 s="41"/>
      <c r="E95" s="8"/>
      <c r="F95" s="8"/>
      <c r="G95" s="8"/>
      <c r="H95" s="11"/>
      <c r="I95" s="34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 s="41"/>
      <c r="E96" s="8"/>
      <c r="F96" s="8"/>
      <c r="G96" s="8"/>
      <c r="H96" s="11"/>
      <c r="I96" s="34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4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BL_HST[CH3]" sqref="F4:F86" xr:uid="{314040A3-5408-43FC-B18D-2B23DFEF57E9}"/>
    <dataValidation allowBlank="1" showInputMessage="1" showErrorMessage="1" prompt="TBL_HST[CH2]" sqref="E4:E86" xr:uid="{C1F62DBD-CB72-4CD9-A688-9BA238A0DE8B}"/>
    <dataValidation allowBlank="1" showInputMessage="1" showErrorMessage="1" prompt="TBL_HST[CH4]" sqref="G4:G86" xr:uid="{7E2F851F-A645-4754-B436-24F1B449BE19}"/>
    <dataValidation allowBlank="1" showInputMessage="1" showErrorMessage="1" prompt="TBL_HST[CH1]" sqref="D4:D86" xr:uid="{52CFFB4E-5E65-4E6E-920F-6CBD85318558}"/>
    <dataValidation allowBlank="1" showInputMessage="1" showErrorMessage="1" prompt="Time_x000d__x000a__x000d__x000a_TBL_HST[TIME]" sqref="C4:C86" xr:uid="{2905D802-2200-40D4-9679-D45572B80581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8CCEC-CAB6-4490-A212-1FEC68F33D5D}">
  <dimension ref="C3:K105"/>
  <sheetViews>
    <sheetView topLeftCell="A28" workbookViewId="0">
      <selection activeCell="C10" sqref="C10"/>
    </sheetView>
  </sheetViews>
  <sheetFormatPr defaultRowHeight="15" x14ac:dyDescent="0.25"/>
  <cols>
    <col min="4" max="4" width="15.5703125" customWidth="1"/>
    <col min="5" max="5" width="20" customWidth="1"/>
    <col min="6" max="6" width="23.28515625" customWidth="1"/>
    <col min="7" max="7" width="22.42578125" customWidth="1"/>
    <col min="8" max="8" width="26.7109375" customWidth="1"/>
    <col min="9" max="9" width="17.42578125" customWidth="1"/>
    <col min="10" max="10" width="24.42578125" customWidth="1"/>
    <col min="11" max="11" width="14.28515625" customWidth="1"/>
    <col min="12" max="12" width="13.5703125" customWidth="1"/>
  </cols>
  <sheetData>
    <row r="3" spans="3:11" ht="15.75" thickBot="1" x14ac:dyDescent="0.3">
      <c r="C3" t="s">
        <v>49</v>
      </c>
      <c r="D3">
        <v>1</v>
      </c>
      <c r="E3">
        <v>2</v>
      </c>
      <c r="F3">
        <v>3</v>
      </c>
    </row>
    <row r="4" spans="3:11" ht="16.5" thickBot="1" x14ac:dyDescent="0.3">
      <c r="C4" t="s">
        <v>48</v>
      </c>
      <c r="D4" s="4" t="s">
        <v>5</v>
      </c>
      <c r="E4" s="4" t="s">
        <v>5</v>
      </c>
      <c r="F4" s="4" t="s">
        <v>5</v>
      </c>
      <c r="G4" s="42" t="s">
        <v>29</v>
      </c>
      <c r="H4" s="51" t="s">
        <v>46</v>
      </c>
      <c r="I4" s="51" t="s">
        <v>47</v>
      </c>
      <c r="K4" s="42" t="s">
        <v>30</v>
      </c>
    </row>
    <row r="5" spans="3:11" ht="15.75" x14ac:dyDescent="0.25">
      <c r="C5">
        <f>1</f>
        <v>1</v>
      </c>
      <c r="D5">
        <v>20</v>
      </c>
      <c r="E5">
        <v>20</v>
      </c>
      <c r="F5">
        <v>19</v>
      </c>
      <c r="G5">
        <f t="shared" ref="G5:G36" si="0">AVERAGE(D5:F5)</f>
        <v>19.666666666666668</v>
      </c>
      <c r="H5">
        <f>_xlfn.STDEV.P(D5:F5)</f>
        <v>0.47140452079103168</v>
      </c>
      <c r="I5">
        <f>AVERAGE(H5:H81)</f>
        <v>0.8945302566275225</v>
      </c>
      <c r="J5">
        <v>1</v>
      </c>
      <c r="K5" s="43">
        <v>22</v>
      </c>
    </row>
    <row r="6" spans="3:11" x14ac:dyDescent="0.25">
      <c r="C6">
        <f>C5+1</f>
        <v>2</v>
      </c>
      <c r="D6">
        <v>20</v>
      </c>
      <c r="E6">
        <v>21</v>
      </c>
      <c r="F6">
        <v>20</v>
      </c>
      <c r="G6">
        <f t="shared" si="0"/>
        <v>20.333333333333332</v>
      </c>
      <c r="H6">
        <f t="shared" ref="H6:H69" si="1">_xlfn.STDEV.P(D6:F6)</f>
        <v>0.47140452079103168</v>
      </c>
      <c r="J6">
        <v>2</v>
      </c>
      <c r="K6" s="44">
        <v>20.100000000000001</v>
      </c>
    </row>
    <row r="7" spans="3:11" x14ac:dyDescent="0.25">
      <c r="C7">
        <f t="shared" ref="C7:C70" si="2">C6+1</f>
        <v>3</v>
      </c>
      <c r="D7">
        <v>22</v>
      </c>
      <c r="E7">
        <v>20</v>
      </c>
      <c r="F7">
        <v>19</v>
      </c>
      <c r="G7">
        <f t="shared" si="0"/>
        <v>20.333333333333332</v>
      </c>
      <c r="H7">
        <f t="shared" si="1"/>
        <v>1.247219128924647</v>
      </c>
      <c r="J7">
        <v>3</v>
      </c>
      <c r="K7" s="44">
        <v>19.8</v>
      </c>
    </row>
    <row r="8" spans="3:11" ht="15.75" x14ac:dyDescent="0.25">
      <c r="C8">
        <f t="shared" si="2"/>
        <v>4</v>
      </c>
      <c r="D8">
        <v>20</v>
      </c>
      <c r="E8">
        <v>20</v>
      </c>
      <c r="F8">
        <v>21</v>
      </c>
      <c r="G8">
        <f t="shared" si="0"/>
        <v>20.333333333333332</v>
      </c>
      <c r="H8">
        <f t="shared" si="1"/>
        <v>0.47140452079103168</v>
      </c>
      <c r="J8" s="42" t="s">
        <v>31</v>
      </c>
      <c r="K8">
        <f>AVERAGE(K5:K7)</f>
        <v>20.633333333333336</v>
      </c>
    </row>
    <row r="9" spans="3:11" x14ac:dyDescent="0.25">
      <c r="C9">
        <f t="shared" si="2"/>
        <v>5</v>
      </c>
      <c r="D9">
        <v>22</v>
      </c>
      <c r="E9">
        <v>22</v>
      </c>
      <c r="G9">
        <f t="shared" si="0"/>
        <v>22</v>
      </c>
      <c r="H9">
        <f t="shared" si="1"/>
        <v>0</v>
      </c>
    </row>
    <row r="10" spans="3:11" x14ac:dyDescent="0.25">
      <c r="C10">
        <f t="shared" si="2"/>
        <v>6</v>
      </c>
      <c r="D10">
        <v>21</v>
      </c>
      <c r="E10">
        <v>21</v>
      </c>
      <c r="F10">
        <v>21</v>
      </c>
      <c r="G10">
        <f t="shared" si="0"/>
        <v>21</v>
      </c>
      <c r="H10">
        <f t="shared" si="1"/>
        <v>0</v>
      </c>
    </row>
    <row r="11" spans="3:11" ht="15.75" x14ac:dyDescent="0.25">
      <c r="C11">
        <f t="shared" si="2"/>
        <v>7</v>
      </c>
      <c r="D11">
        <v>20</v>
      </c>
      <c r="E11">
        <v>22</v>
      </c>
      <c r="F11">
        <v>21</v>
      </c>
      <c r="G11">
        <f t="shared" si="0"/>
        <v>21</v>
      </c>
      <c r="H11">
        <f t="shared" si="1"/>
        <v>0.81649658092772603</v>
      </c>
      <c r="K11" s="42" t="s">
        <v>32</v>
      </c>
    </row>
    <row r="12" spans="3:11" ht="15.75" x14ac:dyDescent="0.25">
      <c r="C12">
        <f t="shared" si="2"/>
        <v>8</v>
      </c>
      <c r="D12">
        <v>21</v>
      </c>
      <c r="E12">
        <v>22</v>
      </c>
      <c r="F12">
        <v>20</v>
      </c>
      <c r="G12">
        <f t="shared" si="0"/>
        <v>21</v>
      </c>
      <c r="H12">
        <f t="shared" si="1"/>
        <v>0.81649658092772603</v>
      </c>
      <c r="J12">
        <v>1</v>
      </c>
      <c r="K12" s="43">
        <v>77</v>
      </c>
    </row>
    <row r="13" spans="3:11" x14ac:dyDescent="0.25">
      <c r="C13">
        <f t="shared" si="2"/>
        <v>9</v>
      </c>
      <c r="D13">
        <v>21</v>
      </c>
      <c r="E13">
        <v>21</v>
      </c>
      <c r="F13">
        <v>21</v>
      </c>
      <c r="G13">
        <f t="shared" si="0"/>
        <v>21</v>
      </c>
      <c r="H13">
        <f t="shared" si="1"/>
        <v>0</v>
      </c>
      <c r="J13">
        <v>2</v>
      </c>
      <c r="K13" s="44">
        <v>77</v>
      </c>
    </row>
    <row r="14" spans="3:11" x14ac:dyDescent="0.25">
      <c r="C14">
        <f t="shared" si="2"/>
        <v>10</v>
      </c>
      <c r="D14">
        <v>22</v>
      </c>
      <c r="E14">
        <v>22</v>
      </c>
      <c r="F14">
        <v>20</v>
      </c>
      <c r="G14">
        <f t="shared" si="0"/>
        <v>21.333333333333332</v>
      </c>
      <c r="H14">
        <f t="shared" si="1"/>
        <v>0.94280904158206336</v>
      </c>
      <c r="J14">
        <v>3</v>
      </c>
      <c r="K14" s="44">
        <v>74</v>
      </c>
    </row>
    <row r="15" spans="3:11" ht="15.75" x14ac:dyDescent="0.25">
      <c r="C15">
        <f t="shared" si="2"/>
        <v>11</v>
      </c>
      <c r="D15">
        <v>22</v>
      </c>
      <c r="E15">
        <v>22</v>
      </c>
      <c r="F15">
        <v>21</v>
      </c>
      <c r="G15">
        <f t="shared" si="0"/>
        <v>21.666666666666668</v>
      </c>
      <c r="H15">
        <f t="shared" si="1"/>
        <v>0.47140452079103168</v>
      </c>
      <c r="J15" s="42" t="s">
        <v>33</v>
      </c>
      <c r="K15">
        <f>AVERAGE(K12:K14)</f>
        <v>76</v>
      </c>
    </row>
    <row r="16" spans="3:11" x14ac:dyDescent="0.25">
      <c r="C16">
        <f t="shared" si="2"/>
        <v>12</v>
      </c>
      <c r="D16">
        <v>22</v>
      </c>
      <c r="E16">
        <v>22</v>
      </c>
      <c r="F16">
        <v>20</v>
      </c>
      <c r="G16">
        <f t="shared" si="0"/>
        <v>21.333333333333332</v>
      </c>
      <c r="H16">
        <f t="shared" si="1"/>
        <v>0.94280904158206336</v>
      </c>
    </row>
    <row r="17" spans="3:11" x14ac:dyDescent="0.25">
      <c r="C17">
        <f t="shared" si="2"/>
        <v>13</v>
      </c>
      <c r="D17">
        <v>22</v>
      </c>
      <c r="E17">
        <v>21</v>
      </c>
      <c r="F17">
        <v>22</v>
      </c>
      <c r="G17">
        <f t="shared" si="0"/>
        <v>21.666666666666668</v>
      </c>
      <c r="H17">
        <f t="shared" si="1"/>
        <v>0.47140452079103168</v>
      </c>
    </row>
    <row r="18" spans="3:11" ht="15.75" x14ac:dyDescent="0.25">
      <c r="C18">
        <f t="shared" si="2"/>
        <v>14</v>
      </c>
      <c r="D18">
        <v>21</v>
      </c>
      <c r="E18">
        <v>23</v>
      </c>
      <c r="F18">
        <v>22</v>
      </c>
      <c r="G18">
        <f t="shared" si="0"/>
        <v>22</v>
      </c>
      <c r="H18">
        <f t="shared" si="1"/>
        <v>0.81649658092772603</v>
      </c>
      <c r="K18" s="42" t="s">
        <v>34</v>
      </c>
    </row>
    <row r="19" spans="3:11" ht="15.75" x14ac:dyDescent="0.25">
      <c r="C19">
        <f t="shared" si="2"/>
        <v>15</v>
      </c>
      <c r="D19">
        <v>22</v>
      </c>
      <c r="E19">
        <v>22</v>
      </c>
      <c r="F19">
        <v>21</v>
      </c>
      <c r="G19">
        <f t="shared" si="0"/>
        <v>21.666666666666668</v>
      </c>
      <c r="H19">
        <f t="shared" si="1"/>
        <v>0.47140452079103168</v>
      </c>
      <c r="J19">
        <v>1</v>
      </c>
      <c r="K19" s="43">
        <v>9</v>
      </c>
    </row>
    <row r="20" spans="3:11" x14ac:dyDescent="0.25">
      <c r="C20">
        <f t="shared" si="2"/>
        <v>16</v>
      </c>
      <c r="D20">
        <v>22</v>
      </c>
      <c r="E20">
        <v>22</v>
      </c>
      <c r="F20">
        <v>22</v>
      </c>
      <c r="G20">
        <f t="shared" si="0"/>
        <v>22</v>
      </c>
      <c r="H20">
        <f t="shared" si="1"/>
        <v>0</v>
      </c>
      <c r="J20">
        <v>2</v>
      </c>
      <c r="K20" s="44">
        <v>9</v>
      </c>
    </row>
    <row r="21" spans="3:11" x14ac:dyDescent="0.25">
      <c r="C21">
        <f t="shared" si="2"/>
        <v>17</v>
      </c>
      <c r="D21">
        <v>22</v>
      </c>
      <c r="G21">
        <f t="shared" si="0"/>
        <v>22</v>
      </c>
      <c r="H21">
        <f t="shared" si="1"/>
        <v>0</v>
      </c>
      <c r="J21">
        <v>3</v>
      </c>
      <c r="K21" s="44">
        <v>9</v>
      </c>
    </row>
    <row r="22" spans="3:11" ht="15.75" x14ac:dyDescent="0.25">
      <c r="C22">
        <f t="shared" si="2"/>
        <v>18</v>
      </c>
      <c r="D22">
        <v>23</v>
      </c>
      <c r="E22">
        <v>23</v>
      </c>
      <c r="F22">
        <v>22</v>
      </c>
      <c r="G22">
        <f t="shared" si="0"/>
        <v>22.666666666666668</v>
      </c>
      <c r="H22">
        <f t="shared" si="1"/>
        <v>0.47140452079103168</v>
      </c>
      <c r="J22" s="42" t="s">
        <v>35</v>
      </c>
      <c r="K22">
        <f>AVERAGE(K19:K21)</f>
        <v>9</v>
      </c>
    </row>
    <row r="23" spans="3:11" x14ac:dyDescent="0.25">
      <c r="C23">
        <f t="shared" si="2"/>
        <v>19</v>
      </c>
      <c r="E23">
        <v>23</v>
      </c>
      <c r="F23">
        <v>22</v>
      </c>
      <c r="G23">
        <f t="shared" si="0"/>
        <v>22.5</v>
      </c>
      <c r="H23">
        <f t="shared" si="1"/>
        <v>0.5</v>
      </c>
    </row>
    <row r="24" spans="3:11" x14ac:dyDescent="0.25">
      <c r="C24">
        <f t="shared" si="2"/>
        <v>20</v>
      </c>
      <c r="D24">
        <v>23</v>
      </c>
      <c r="E24">
        <v>22</v>
      </c>
      <c r="F24">
        <v>21</v>
      </c>
      <c r="G24">
        <f t="shared" si="0"/>
        <v>22</v>
      </c>
      <c r="H24">
        <f t="shared" si="1"/>
        <v>0.81649658092772603</v>
      </c>
    </row>
    <row r="25" spans="3:11" x14ac:dyDescent="0.25">
      <c r="C25">
        <f t="shared" si="2"/>
        <v>21</v>
      </c>
      <c r="D25">
        <v>24</v>
      </c>
      <c r="E25">
        <v>23</v>
      </c>
      <c r="F25">
        <v>22</v>
      </c>
      <c r="G25">
        <f t="shared" si="0"/>
        <v>23</v>
      </c>
      <c r="H25">
        <f t="shared" si="1"/>
        <v>0.81649658092772603</v>
      </c>
    </row>
    <row r="26" spans="3:11" x14ac:dyDescent="0.25">
      <c r="C26">
        <f t="shared" si="2"/>
        <v>22</v>
      </c>
      <c r="E26">
        <v>24</v>
      </c>
      <c r="F26">
        <v>21</v>
      </c>
      <c r="G26">
        <f t="shared" si="0"/>
        <v>22.5</v>
      </c>
      <c r="H26">
        <f t="shared" si="1"/>
        <v>1.5</v>
      </c>
    </row>
    <row r="27" spans="3:11" x14ac:dyDescent="0.25">
      <c r="C27">
        <f t="shared" si="2"/>
        <v>23</v>
      </c>
      <c r="D27">
        <v>23</v>
      </c>
      <c r="E27">
        <v>24</v>
      </c>
      <c r="F27">
        <v>22</v>
      </c>
      <c r="G27">
        <f t="shared" si="0"/>
        <v>23</v>
      </c>
      <c r="H27">
        <f t="shared" si="1"/>
        <v>0.81649658092772603</v>
      </c>
    </row>
    <row r="28" spans="3:11" x14ac:dyDescent="0.25">
      <c r="C28">
        <f t="shared" si="2"/>
        <v>24</v>
      </c>
      <c r="D28">
        <v>23</v>
      </c>
      <c r="E28">
        <v>23</v>
      </c>
      <c r="F28">
        <v>21</v>
      </c>
      <c r="G28">
        <f t="shared" si="0"/>
        <v>22.333333333333332</v>
      </c>
      <c r="H28">
        <f t="shared" si="1"/>
        <v>0.94280904158206336</v>
      </c>
    </row>
    <row r="29" spans="3:11" x14ac:dyDescent="0.25">
      <c r="C29">
        <f t="shared" si="2"/>
        <v>25</v>
      </c>
      <c r="D29">
        <v>23</v>
      </c>
      <c r="E29">
        <v>23</v>
      </c>
      <c r="G29">
        <f t="shared" si="0"/>
        <v>23</v>
      </c>
      <c r="H29">
        <f t="shared" si="1"/>
        <v>0</v>
      </c>
    </row>
    <row r="30" spans="3:11" x14ac:dyDescent="0.25">
      <c r="C30">
        <f t="shared" si="2"/>
        <v>26</v>
      </c>
      <c r="E30">
        <v>24</v>
      </c>
      <c r="F30">
        <v>23</v>
      </c>
      <c r="G30">
        <f t="shared" si="0"/>
        <v>23.5</v>
      </c>
      <c r="H30">
        <f t="shared" si="1"/>
        <v>0.5</v>
      </c>
    </row>
    <row r="31" spans="3:11" x14ac:dyDescent="0.25">
      <c r="C31">
        <f t="shared" si="2"/>
        <v>27</v>
      </c>
      <c r="D31">
        <v>23</v>
      </c>
      <c r="E31">
        <v>24</v>
      </c>
      <c r="F31">
        <v>23</v>
      </c>
      <c r="G31">
        <f t="shared" si="0"/>
        <v>23.333333333333332</v>
      </c>
      <c r="H31">
        <f t="shared" si="1"/>
        <v>0.47140452079103168</v>
      </c>
    </row>
    <row r="32" spans="3:11" x14ac:dyDescent="0.25">
      <c r="C32">
        <f t="shared" si="2"/>
        <v>28</v>
      </c>
      <c r="D32">
        <v>24</v>
      </c>
      <c r="E32">
        <v>24</v>
      </c>
      <c r="F32">
        <v>22</v>
      </c>
      <c r="G32">
        <f t="shared" si="0"/>
        <v>23.333333333333332</v>
      </c>
      <c r="H32">
        <f t="shared" si="1"/>
        <v>0.94280904158206336</v>
      </c>
    </row>
    <row r="33" spans="3:8" x14ac:dyDescent="0.25">
      <c r="C33">
        <f t="shared" si="2"/>
        <v>29</v>
      </c>
      <c r="D33">
        <v>24</v>
      </c>
      <c r="E33">
        <v>24</v>
      </c>
      <c r="F33">
        <v>24</v>
      </c>
      <c r="G33">
        <f t="shared" si="0"/>
        <v>24</v>
      </c>
      <c r="H33">
        <f t="shared" si="1"/>
        <v>0</v>
      </c>
    </row>
    <row r="34" spans="3:8" x14ac:dyDescent="0.25">
      <c r="C34">
        <f t="shared" si="2"/>
        <v>30</v>
      </c>
      <c r="D34">
        <v>24</v>
      </c>
      <c r="E34">
        <v>24</v>
      </c>
      <c r="F34">
        <v>22</v>
      </c>
      <c r="G34">
        <f t="shared" si="0"/>
        <v>23.333333333333332</v>
      </c>
      <c r="H34">
        <f t="shared" si="1"/>
        <v>0.94280904158206336</v>
      </c>
    </row>
    <row r="35" spans="3:8" x14ac:dyDescent="0.25">
      <c r="C35">
        <f t="shared" si="2"/>
        <v>31</v>
      </c>
      <c r="D35">
        <v>23</v>
      </c>
      <c r="E35">
        <v>25</v>
      </c>
      <c r="F35">
        <v>23</v>
      </c>
      <c r="G35">
        <f t="shared" si="0"/>
        <v>23.666666666666668</v>
      </c>
      <c r="H35">
        <f t="shared" si="1"/>
        <v>0.94280904158206336</v>
      </c>
    </row>
    <row r="36" spans="3:8" x14ac:dyDescent="0.25">
      <c r="C36">
        <f t="shared" si="2"/>
        <v>32</v>
      </c>
      <c r="D36">
        <v>25</v>
      </c>
      <c r="E36">
        <v>25</v>
      </c>
      <c r="F36">
        <v>23</v>
      </c>
      <c r="G36">
        <f t="shared" si="0"/>
        <v>24.333333333333332</v>
      </c>
      <c r="H36">
        <f t="shared" si="1"/>
        <v>0.94280904158206336</v>
      </c>
    </row>
    <row r="37" spans="3:8" x14ac:dyDescent="0.25">
      <c r="C37">
        <f t="shared" si="2"/>
        <v>33</v>
      </c>
      <c r="D37">
        <v>24</v>
      </c>
      <c r="E37">
        <v>24</v>
      </c>
      <c r="G37">
        <f t="shared" ref="G37:G68" si="3">AVERAGE(D37:F37)</f>
        <v>24</v>
      </c>
      <c r="H37">
        <f t="shared" si="1"/>
        <v>0</v>
      </c>
    </row>
    <row r="38" spans="3:8" x14ac:dyDescent="0.25">
      <c r="C38">
        <f t="shared" si="2"/>
        <v>34</v>
      </c>
      <c r="D38">
        <v>24</v>
      </c>
      <c r="F38">
        <v>23</v>
      </c>
      <c r="G38">
        <f t="shared" si="3"/>
        <v>23.5</v>
      </c>
      <c r="H38">
        <f t="shared" si="1"/>
        <v>0.5</v>
      </c>
    </row>
    <row r="39" spans="3:8" x14ac:dyDescent="0.25">
      <c r="C39">
        <f t="shared" si="2"/>
        <v>35</v>
      </c>
      <c r="D39">
        <v>24</v>
      </c>
      <c r="E39">
        <v>26</v>
      </c>
      <c r="F39">
        <v>24</v>
      </c>
      <c r="G39">
        <f t="shared" si="3"/>
        <v>24.666666666666668</v>
      </c>
      <c r="H39">
        <f t="shared" si="1"/>
        <v>0.94280904158206336</v>
      </c>
    </row>
    <row r="40" spans="3:8" x14ac:dyDescent="0.25">
      <c r="C40">
        <f t="shared" si="2"/>
        <v>36</v>
      </c>
      <c r="D40">
        <v>24</v>
      </c>
      <c r="E40">
        <v>25</v>
      </c>
      <c r="F40">
        <v>24</v>
      </c>
      <c r="G40">
        <f t="shared" si="3"/>
        <v>24.333333333333332</v>
      </c>
      <c r="H40">
        <f t="shared" si="1"/>
        <v>0.47140452079103168</v>
      </c>
    </row>
    <row r="41" spans="3:8" x14ac:dyDescent="0.25">
      <c r="C41">
        <f t="shared" si="2"/>
        <v>37</v>
      </c>
      <c r="D41">
        <v>24</v>
      </c>
      <c r="E41">
        <v>27</v>
      </c>
      <c r="F41">
        <v>25</v>
      </c>
      <c r="G41">
        <f t="shared" si="3"/>
        <v>25.333333333333332</v>
      </c>
      <c r="H41">
        <f t="shared" si="1"/>
        <v>1.247219128924647</v>
      </c>
    </row>
    <row r="42" spans="3:8" x14ac:dyDescent="0.25">
      <c r="C42">
        <f t="shared" si="2"/>
        <v>38</v>
      </c>
      <c r="D42">
        <v>26</v>
      </c>
      <c r="E42">
        <v>25</v>
      </c>
      <c r="F42">
        <v>25</v>
      </c>
      <c r="G42">
        <f t="shared" si="3"/>
        <v>25.333333333333332</v>
      </c>
      <c r="H42">
        <f t="shared" si="1"/>
        <v>0.47140452079103168</v>
      </c>
    </row>
    <row r="43" spans="3:8" x14ac:dyDescent="0.25">
      <c r="C43">
        <f t="shared" si="2"/>
        <v>39</v>
      </c>
      <c r="D43">
        <v>25</v>
      </c>
      <c r="E43">
        <v>24</v>
      </c>
      <c r="F43">
        <v>25</v>
      </c>
      <c r="G43">
        <f t="shared" si="3"/>
        <v>24.666666666666668</v>
      </c>
      <c r="H43">
        <f t="shared" si="1"/>
        <v>0.47140452079103168</v>
      </c>
    </row>
    <row r="44" spans="3:8" x14ac:dyDescent="0.25">
      <c r="C44">
        <f t="shared" si="2"/>
        <v>40</v>
      </c>
      <c r="D44">
        <v>26</v>
      </c>
      <c r="E44">
        <v>26</v>
      </c>
      <c r="F44">
        <v>25</v>
      </c>
      <c r="G44">
        <f t="shared" si="3"/>
        <v>25.666666666666668</v>
      </c>
      <c r="H44">
        <f t="shared" si="1"/>
        <v>0.47140452079103168</v>
      </c>
    </row>
    <row r="45" spans="3:8" x14ac:dyDescent="0.25">
      <c r="C45">
        <f t="shared" si="2"/>
        <v>41</v>
      </c>
      <c r="D45">
        <v>25</v>
      </c>
      <c r="E45">
        <v>26</v>
      </c>
      <c r="F45">
        <v>24</v>
      </c>
      <c r="G45">
        <f t="shared" si="3"/>
        <v>25</v>
      </c>
      <c r="H45">
        <f t="shared" si="1"/>
        <v>0.81649658092772603</v>
      </c>
    </row>
    <row r="46" spans="3:8" x14ac:dyDescent="0.25">
      <c r="C46">
        <f t="shared" si="2"/>
        <v>42</v>
      </c>
      <c r="D46">
        <v>25</v>
      </c>
      <c r="E46">
        <v>25</v>
      </c>
      <c r="F46">
        <v>24</v>
      </c>
      <c r="G46">
        <f t="shared" si="3"/>
        <v>24.666666666666668</v>
      </c>
      <c r="H46">
        <f t="shared" si="1"/>
        <v>0.47140452079103168</v>
      </c>
    </row>
    <row r="47" spans="3:8" x14ac:dyDescent="0.25">
      <c r="C47">
        <f t="shared" si="2"/>
        <v>43</v>
      </c>
      <c r="D47">
        <v>26</v>
      </c>
      <c r="E47">
        <v>26</v>
      </c>
      <c r="F47">
        <v>24</v>
      </c>
      <c r="G47">
        <f t="shared" si="3"/>
        <v>25.333333333333332</v>
      </c>
      <c r="H47">
        <f t="shared" si="1"/>
        <v>0.94280904158206336</v>
      </c>
    </row>
    <row r="48" spans="3:8" x14ac:dyDescent="0.25">
      <c r="C48">
        <f t="shared" si="2"/>
        <v>44</v>
      </c>
      <c r="D48">
        <v>24</v>
      </c>
      <c r="F48">
        <v>26</v>
      </c>
      <c r="G48">
        <f t="shared" si="3"/>
        <v>25</v>
      </c>
      <c r="H48">
        <f t="shared" si="1"/>
        <v>1</v>
      </c>
    </row>
    <row r="49" spans="3:8" x14ac:dyDescent="0.25">
      <c r="C49">
        <f t="shared" si="2"/>
        <v>45</v>
      </c>
      <c r="D49">
        <v>24</v>
      </c>
      <c r="F49">
        <v>26</v>
      </c>
      <c r="G49">
        <f t="shared" si="3"/>
        <v>25</v>
      </c>
      <c r="H49">
        <f t="shared" si="1"/>
        <v>1</v>
      </c>
    </row>
    <row r="50" spans="3:8" x14ac:dyDescent="0.25">
      <c r="C50">
        <f t="shared" si="2"/>
        <v>46</v>
      </c>
      <c r="D50">
        <v>26</v>
      </c>
      <c r="E50">
        <v>25</v>
      </c>
      <c r="G50">
        <f t="shared" si="3"/>
        <v>25.5</v>
      </c>
      <c r="H50">
        <f t="shared" si="1"/>
        <v>0.5</v>
      </c>
    </row>
    <row r="51" spans="3:8" x14ac:dyDescent="0.25">
      <c r="C51">
        <f t="shared" si="2"/>
        <v>47</v>
      </c>
      <c r="D51">
        <v>25</v>
      </c>
      <c r="E51">
        <v>26</v>
      </c>
      <c r="G51">
        <f t="shared" si="3"/>
        <v>25.5</v>
      </c>
      <c r="H51">
        <f t="shared" si="1"/>
        <v>0.5</v>
      </c>
    </row>
    <row r="52" spans="3:8" x14ac:dyDescent="0.25">
      <c r="C52">
        <f t="shared" si="2"/>
        <v>48</v>
      </c>
      <c r="D52">
        <v>27</v>
      </c>
      <c r="E52">
        <v>26</v>
      </c>
      <c r="F52">
        <v>26</v>
      </c>
      <c r="G52">
        <f t="shared" si="3"/>
        <v>26.333333333333332</v>
      </c>
      <c r="H52">
        <f t="shared" si="1"/>
        <v>0.47140452079103168</v>
      </c>
    </row>
    <row r="53" spans="3:8" x14ac:dyDescent="0.25">
      <c r="C53">
        <f t="shared" si="2"/>
        <v>49</v>
      </c>
      <c r="D53">
        <v>27</v>
      </c>
      <c r="E53">
        <v>26</v>
      </c>
      <c r="F53">
        <v>27</v>
      </c>
      <c r="G53">
        <f t="shared" si="3"/>
        <v>26.666666666666668</v>
      </c>
      <c r="H53">
        <f t="shared" si="1"/>
        <v>0.47140452079103168</v>
      </c>
    </row>
    <row r="54" spans="3:8" x14ac:dyDescent="0.25">
      <c r="C54">
        <f t="shared" si="2"/>
        <v>50</v>
      </c>
      <c r="D54">
        <v>26</v>
      </c>
      <c r="G54">
        <f t="shared" si="3"/>
        <v>26</v>
      </c>
      <c r="H54">
        <f t="shared" si="1"/>
        <v>0</v>
      </c>
    </row>
    <row r="55" spans="3:8" x14ac:dyDescent="0.25">
      <c r="C55">
        <f t="shared" si="2"/>
        <v>51</v>
      </c>
      <c r="D55">
        <v>26</v>
      </c>
      <c r="E55">
        <v>28</v>
      </c>
      <c r="F55">
        <v>27</v>
      </c>
      <c r="G55">
        <f t="shared" si="3"/>
        <v>27</v>
      </c>
      <c r="H55">
        <f t="shared" si="1"/>
        <v>0.81649658092772603</v>
      </c>
    </row>
    <row r="56" spans="3:8" x14ac:dyDescent="0.25">
      <c r="C56">
        <f t="shared" si="2"/>
        <v>52</v>
      </c>
      <c r="D56">
        <v>27</v>
      </c>
      <c r="E56">
        <v>27</v>
      </c>
      <c r="G56">
        <f t="shared" si="3"/>
        <v>27</v>
      </c>
      <c r="H56">
        <f t="shared" si="1"/>
        <v>0</v>
      </c>
    </row>
    <row r="57" spans="3:8" x14ac:dyDescent="0.25">
      <c r="C57">
        <f t="shared" si="2"/>
        <v>53</v>
      </c>
      <c r="D57">
        <v>27</v>
      </c>
      <c r="F57">
        <v>29</v>
      </c>
      <c r="G57">
        <f t="shared" si="3"/>
        <v>28</v>
      </c>
      <c r="H57">
        <f t="shared" si="1"/>
        <v>1</v>
      </c>
    </row>
    <row r="58" spans="3:8" x14ac:dyDescent="0.25">
      <c r="C58">
        <f t="shared" si="2"/>
        <v>54</v>
      </c>
      <c r="D58">
        <v>28</v>
      </c>
      <c r="E58">
        <v>26</v>
      </c>
      <c r="F58">
        <v>28</v>
      </c>
      <c r="G58">
        <f t="shared" si="3"/>
        <v>27.333333333333332</v>
      </c>
      <c r="H58">
        <f t="shared" si="1"/>
        <v>0.94280904158206336</v>
      </c>
    </row>
    <row r="59" spans="3:8" x14ac:dyDescent="0.25">
      <c r="C59">
        <f t="shared" si="2"/>
        <v>55</v>
      </c>
      <c r="D59">
        <v>26</v>
      </c>
      <c r="E59">
        <v>28</v>
      </c>
      <c r="F59">
        <v>30</v>
      </c>
      <c r="G59">
        <f t="shared" si="3"/>
        <v>28</v>
      </c>
      <c r="H59">
        <f t="shared" si="1"/>
        <v>1.6329931618554521</v>
      </c>
    </row>
    <row r="60" spans="3:8" x14ac:dyDescent="0.25">
      <c r="C60">
        <f t="shared" si="2"/>
        <v>56</v>
      </c>
      <c r="D60">
        <v>29</v>
      </c>
      <c r="E60">
        <v>27</v>
      </c>
      <c r="F60">
        <v>30</v>
      </c>
      <c r="G60">
        <f t="shared" si="3"/>
        <v>28.666666666666668</v>
      </c>
      <c r="H60">
        <f t="shared" si="1"/>
        <v>1.247219128924647</v>
      </c>
    </row>
    <row r="61" spans="3:8" x14ac:dyDescent="0.25">
      <c r="C61">
        <f t="shared" si="2"/>
        <v>57</v>
      </c>
      <c r="D61">
        <v>28</v>
      </c>
      <c r="E61">
        <v>27</v>
      </c>
      <c r="F61">
        <v>30</v>
      </c>
      <c r="G61">
        <f t="shared" si="3"/>
        <v>28.333333333333332</v>
      </c>
      <c r="H61">
        <f t="shared" si="1"/>
        <v>1.247219128924647</v>
      </c>
    </row>
    <row r="62" spans="3:8" x14ac:dyDescent="0.25">
      <c r="C62">
        <f t="shared" si="2"/>
        <v>58</v>
      </c>
      <c r="D62">
        <v>27</v>
      </c>
      <c r="F62">
        <v>31</v>
      </c>
      <c r="G62">
        <f t="shared" si="3"/>
        <v>29</v>
      </c>
      <c r="H62">
        <f t="shared" si="1"/>
        <v>2</v>
      </c>
    </row>
    <row r="63" spans="3:8" x14ac:dyDescent="0.25">
      <c r="C63">
        <f t="shared" si="2"/>
        <v>59</v>
      </c>
      <c r="D63">
        <v>29</v>
      </c>
      <c r="E63">
        <v>30</v>
      </c>
      <c r="F63">
        <v>31</v>
      </c>
      <c r="G63">
        <f t="shared" si="3"/>
        <v>30</v>
      </c>
      <c r="H63">
        <f t="shared" si="1"/>
        <v>0.81649658092772603</v>
      </c>
    </row>
    <row r="64" spans="3:8" x14ac:dyDescent="0.25">
      <c r="C64">
        <f t="shared" si="2"/>
        <v>60</v>
      </c>
      <c r="D64">
        <v>27</v>
      </c>
      <c r="E64">
        <v>30</v>
      </c>
      <c r="F64">
        <v>32</v>
      </c>
      <c r="G64">
        <f t="shared" si="3"/>
        <v>29.666666666666668</v>
      </c>
      <c r="H64">
        <f t="shared" si="1"/>
        <v>2.0548046676563256</v>
      </c>
    </row>
    <row r="65" spans="3:8" x14ac:dyDescent="0.25">
      <c r="C65">
        <f t="shared" si="2"/>
        <v>61</v>
      </c>
      <c r="D65">
        <v>30</v>
      </c>
      <c r="E65">
        <v>30</v>
      </c>
      <c r="F65">
        <v>32</v>
      </c>
      <c r="G65">
        <f t="shared" si="3"/>
        <v>30.666666666666668</v>
      </c>
      <c r="H65">
        <f t="shared" si="1"/>
        <v>0.94280904158206336</v>
      </c>
    </row>
    <row r="66" spans="3:8" x14ac:dyDescent="0.25">
      <c r="C66">
        <f t="shared" si="2"/>
        <v>62</v>
      </c>
      <c r="D66">
        <v>30</v>
      </c>
      <c r="E66">
        <v>30</v>
      </c>
      <c r="F66">
        <v>33</v>
      </c>
      <c r="G66">
        <f t="shared" si="3"/>
        <v>31</v>
      </c>
      <c r="H66">
        <f t="shared" si="1"/>
        <v>1.4142135623730951</v>
      </c>
    </row>
    <row r="67" spans="3:8" x14ac:dyDescent="0.25">
      <c r="C67">
        <f t="shared" si="2"/>
        <v>63</v>
      </c>
      <c r="D67">
        <v>29</v>
      </c>
      <c r="E67">
        <v>31</v>
      </c>
      <c r="F67">
        <v>33</v>
      </c>
      <c r="G67">
        <f t="shared" si="3"/>
        <v>31</v>
      </c>
      <c r="H67">
        <f t="shared" si="1"/>
        <v>1.6329931618554521</v>
      </c>
    </row>
    <row r="68" spans="3:8" x14ac:dyDescent="0.25">
      <c r="C68">
        <f t="shared" si="2"/>
        <v>64</v>
      </c>
      <c r="D68">
        <v>31</v>
      </c>
      <c r="E68">
        <v>32</v>
      </c>
      <c r="F68">
        <v>35</v>
      </c>
      <c r="G68">
        <f t="shared" si="3"/>
        <v>32.666666666666664</v>
      </c>
      <c r="H68">
        <f t="shared" si="1"/>
        <v>1.699673171197595</v>
      </c>
    </row>
    <row r="69" spans="3:8" x14ac:dyDescent="0.25">
      <c r="C69">
        <f t="shared" si="2"/>
        <v>65</v>
      </c>
      <c r="D69">
        <v>31</v>
      </c>
      <c r="E69">
        <v>32</v>
      </c>
      <c r="F69">
        <v>35</v>
      </c>
      <c r="G69">
        <f t="shared" ref="G69:G100" si="4">AVERAGE(D69:F69)</f>
        <v>32.666666666666664</v>
      </c>
      <c r="H69">
        <f t="shared" si="1"/>
        <v>1.699673171197595</v>
      </c>
    </row>
    <row r="70" spans="3:8" x14ac:dyDescent="0.25">
      <c r="C70">
        <f t="shared" si="2"/>
        <v>66</v>
      </c>
      <c r="D70">
        <v>31</v>
      </c>
      <c r="E70">
        <v>33</v>
      </c>
      <c r="F70">
        <v>35</v>
      </c>
      <c r="G70">
        <f t="shared" si="4"/>
        <v>33</v>
      </c>
      <c r="H70">
        <f t="shared" ref="H70:H105" si="5">_xlfn.STDEV.P(D70:F70)</f>
        <v>1.6329931618554521</v>
      </c>
    </row>
    <row r="71" spans="3:8" x14ac:dyDescent="0.25">
      <c r="C71">
        <f t="shared" ref="C71:C81" si="6">C70+1</f>
        <v>67</v>
      </c>
      <c r="D71">
        <v>32</v>
      </c>
      <c r="E71">
        <v>33</v>
      </c>
      <c r="F71">
        <v>37</v>
      </c>
      <c r="G71">
        <f t="shared" si="4"/>
        <v>34</v>
      </c>
      <c r="H71">
        <f t="shared" si="5"/>
        <v>2.1602468994692869</v>
      </c>
    </row>
    <row r="72" spans="3:8" x14ac:dyDescent="0.25">
      <c r="C72">
        <f t="shared" si="6"/>
        <v>68</v>
      </c>
      <c r="D72">
        <v>30</v>
      </c>
      <c r="E72">
        <v>34</v>
      </c>
      <c r="F72">
        <v>39</v>
      </c>
      <c r="G72">
        <f t="shared" si="4"/>
        <v>34.333333333333336</v>
      </c>
      <c r="H72">
        <f t="shared" si="5"/>
        <v>3.6817870057290869</v>
      </c>
    </row>
    <row r="73" spans="3:8" x14ac:dyDescent="0.25">
      <c r="C73">
        <f t="shared" si="6"/>
        <v>69</v>
      </c>
      <c r="D73">
        <v>33</v>
      </c>
      <c r="E73">
        <v>37</v>
      </c>
      <c r="F73">
        <v>37</v>
      </c>
      <c r="G73">
        <f t="shared" si="4"/>
        <v>35.666666666666664</v>
      </c>
      <c r="H73">
        <f t="shared" si="5"/>
        <v>1.8856180831641267</v>
      </c>
    </row>
    <row r="74" spans="3:8" x14ac:dyDescent="0.25">
      <c r="C74">
        <f t="shared" si="6"/>
        <v>70</v>
      </c>
      <c r="D74">
        <v>34</v>
      </c>
      <c r="E74">
        <v>37</v>
      </c>
      <c r="F74">
        <v>41</v>
      </c>
      <c r="G74">
        <f t="shared" si="4"/>
        <v>37.333333333333336</v>
      </c>
      <c r="H74">
        <f t="shared" si="5"/>
        <v>2.8674417556808756</v>
      </c>
    </row>
    <row r="75" spans="3:8" x14ac:dyDescent="0.25">
      <c r="C75">
        <f t="shared" si="6"/>
        <v>71</v>
      </c>
      <c r="D75">
        <v>35</v>
      </c>
      <c r="E75">
        <v>38</v>
      </c>
      <c r="F75">
        <v>38</v>
      </c>
      <c r="G75">
        <f t="shared" si="4"/>
        <v>37</v>
      </c>
      <c r="H75">
        <f t="shared" si="5"/>
        <v>1.4142135623730951</v>
      </c>
    </row>
    <row r="76" spans="3:8" x14ac:dyDescent="0.25">
      <c r="C76">
        <f t="shared" si="6"/>
        <v>72</v>
      </c>
      <c r="D76">
        <v>36</v>
      </c>
      <c r="E76">
        <v>38</v>
      </c>
      <c r="F76">
        <v>38</v>
      </c>
      <c r="G76">
        <f t="shared" si="4"/>
        <v>37.333333333333336</v>
      </c>
      <c r="H76">
        <f t="shared" si="5"/>
        <v>0.94280904158206336</v>
      </c>
    </row>
    <row r="77" spans="3:8" x14ac:dyDescent="0.25">
      <c r="C77">
        <f t="shared" si="6"/>
        <v>73</v>
      </c>
      <c r="D77">
        <v>36</v>
      </c>
      <c r="E77">
        <v>40</v>
      </c>
      <c r="F77">
        <v>40</v>
      </c>
      <c r="G77">
        <f t="shared" si="4"/>
        <v>38.666666666666664</v>
      </c>
      <c r="H77">
        <f t="shared" si="5"/>
        <v>1.8856180831641267</v>
      </c>
    </row>
    <row r="78" spans="3:8" x14ac:dyDescent="0.25">
      <c r="C78">
        <f t="shared" si="6"/>
        <v>74</v>
      </c>
      <c r="D78">
        <v>39</v>
      </c>
      <c r="E78">
        <v>37</v>
      </c>
      <c r="F78">
        <v>43</v>
      </c>
      <c r="G78">
        <f t="shared" si="4"/>
        <v>39.666666666666664</v>
      </c>
      <c r="H78">
        <f t="shared" si="5"/>
        <v>2.4944382578492941</v>
      </c>
    </row>
    <row r="79" spans="3:8" x14ac:dyDescent="0.25">
      <c r="C79">
        <f t="shared" si="6"/>
        <v>75</v>
      </c>
      <c r="D79">
        <v>39</v>
      </c>
      <c r="E79">
        <v>39</v>
      </c>
      <c r="G79">
        <f t="shared" si="4"/>
        <v>39</v>
      </c>
      <c r="H79">
        <f t="shared" si="5"/>
        <v>0</v>
      </c>
    </row>
    <row r="80" spans="3:8" x14ac:dyDescent="0.25">
      <c r="C80">
        <f t="shared" si="6"/>
        <v>76</v>
      </c>
      <c r="D80">
        <v>43</v>
      </c>
      <c r="E80">
        <v>43</v>
      </c>
      <c r="G80">
        <f t="shared" si="4"/>
        <v>43</v>
      </c>
      <c r="H80">
        <f t="shared" si="5"/>
        <v>0</v>
      </c>
    </row>
    <row r="81" spans="3:8" x14ac:dyDescent="0.25">
      <c r="C81">
        <f t="shared" si="6"/>
        <v>77</v>
      </c>
      <c r="D81">
        <v>45</v>
      </c>
      <c r="E81">
        <v>43</v>
      </c>
      <c r="G81">
        <f t="shared" si="4"/>
        <v>44</v>
      </c>
      <c r="H81">
        <f t="shared" si="5"/>
        <v>1</v>
      </c>
    </row>
    <row r="82" spans="3:8" x14ac:dyDescent="0.25">
      <c r="H82" t="e">
        <f t="shared" si="5"/>
        <v>#DIV/0!</v>
      </c>
    </row>
    <row r="83" spans="3:8" x14ac:dyDescent="0.25">
      <c r="H83" t="e">
        <f t="shared" si="5"/>
        <v>#DIV/0!</v>
      </c>
    </row>
    <row r="84" spans="3:8" x14ac:dyDescent="0.25">
      <c r="H84" t="e">
        <f t="shared" si="5"/>
        <v>#DIV/0!</v>
      </c>
    </row>
    <row r="85" spans="3:8" x14ac:dyDescent="0.25">
      <c r="H85" t="e">
        <f t="shared" si="5"/>
        <v>#DIV/0!</v>
      </c>
    </row>
    <row r="86" spans="3:8" x14ac:dyDescent="0.25">
      <c r="H86" t="e">
        <f t="shared" si="5"/>
        <v>#DIV/0!</v>
      </c>
    </row>
    <row r="87" spans="3:8" x14ac:dyDescent="0.25">
      <c r="H87" t="e">
        <f t="shared" si="5"/>
        <v>#DIV/0!</v>
      </c>
    </row>
    <row r="88" spans="3:8" x14ac:dyDescent="0.25">
      <c r="H88" t="e">
        <f t="shared" si="5"/>
        <v>#DIV/0!</v>
      </c>
    </row>
    <row r="89" spans="3:8" x14ac:dyDescent="0.25">
      <c r="H89" t="e">
        <f t="shared" si="5"/>
        <v>#DIV/0!</v>
      </c>
    </row>
    <row r="90" spans="3:8" x14ac:dyDescent="0.25">
      <c r="H90" t="e">
        <f t="shared" si="5"/>
        <v>#DIV/0!</v>
      </c>
    </row>
    <row r="91" spans="3:8" x14ac:dyDescent="0.25">
      <c r="H91" t="e">
        <f t="shared" si="5"/>
        <v>#DIV/0!</v>
      </c>
    </row>
    <row r="92" spans="3:8" x14ac:dyDescent="0.25">
      <c r="H92" t="e">
        <f t="shared" si="5"/>
        <v>#DIV/0!</v>
      </c>
    </row>
    <row r="93" spans="3:8" x14ac:dyDescent="0.25">
      <c r="H93" t="e">
        <f t="shared" si="5"/>
        <v>#DIV/0!</v>
      </c>
    </row>
    <row r="94" spans="3:8" x14ac:dyDescent="0.25">
      <c r="H94" t="e">
        <f t="shared" si="5"/>
        <v>#DIV/0!</v>
      </c>
    </row>
    <row r="95" spans="3:8" x14ac:dyDescent="0.25">
      <c r="H95" t="e">
        <f t="shared" si="5"/>
        <v>#DIV/0!</v>
      </c>
    </row>
    <row r="96" spans="3:8" x14ac:dyDescent="0.25">
      <c r="H96" t="e">
        <f t="shared" si="5"/>
        <v>#DIV/0!</v>
      </c>
    </row>
    <row r="97" spans="8:8" x14ac:dyDescent="0.25">
      <c r="H97" t="e">
        <f t="shared" si="5"/>
        <v>#DIV/0!</v>
      </c>
    </row>
    <row r="98" spans="8:8" x14ac:dyDescent="0.25">
      <c r="H98" t="e">
        <f t="shared" si="5"/>
        <v>#DIV/0!</v>
      </c>
    </row>
    <row r="99" spans="8:8" x14ac:dyDescent="0.25">
      <c r="H99" t="e">
        <f t="shared" si="5"/>
        <v>#DIV/0!</v>
      </c>
    </row>
    <row r="100" spans="8:8" x14ac:dyDescent="0.25">
      <c r="H100" t="e">
        <f t="shared" si="5"/>
        <v>#DIV/0!</v>
      </c>
    </row>
    <row r="101" spans="8:8" x14ac:dyDescent="0.25">
      <c r="H101" t="e">
        <f t="shared" si="5"/>
        <v>#DIV/0!</v>
      </c>
    </row>
    <row r="102" spans="8:8" x14ac:dyDescent="0.25">
      <c r="H102" t="e">
        <f t="shared" si="5"/>
        <v>#DIV/0!</v>
      </c>
    </row>
    <row r="103" spans="8:8" x14ac:dyDescent="0.25">
      <c r="H103" t="e">
        <f t="shared" si="5"/>
        <v>#DIV/0!</v>
      </c>
    </row>
    <row r="104" spans="8:8" x14ac:dyDescent="0.25">
      <c r="H104" t="e">
        <f t="shared" si="5"/>
        <v>#DIV/0!</v>
      </c>
    </row>
    <row r="105" spans="8:8" x14ac:dyDescent="0.25">
      <c r="H105" t="e">
        <f t="shared" si="5"/>
        <v>#DIV/0!</v>
      </c>
    </row>
  </sheetData>
  <dataValidations disablePrompts="1" count="1">
    <dataValidation allowBlank="1" showInputMessage="1" showErrorMessage="1" prompt="TBL_HST[CH2]" sqref="D5:E81 F5:F78" xr:uid="{F5DC03DF-324D-4C3C-B84D-9A6798FE1E06}"/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5D069-EECF-42B2-B7F1-51BE43802FFB}">
  <sheetPr codeName="Sheet14"/>
  <dimension ref="A1:AH2445"/>
  <sheetViews>
    <sheetView topLeftCell="B1" zoomScaleNormal="100" workbookViewId="0">
      <selection activeCell="J23" sqref="J23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/>
      <c r="D4">
        <v>8051</v>
      </c>
      <c r="E4">
        <v>20</v>
      </c>
      <c r="F4">
        <v>67</v>
      </c>
      <c r="G4">
        <v>87</v>
      </c>
      <c r="H4" s="11"/>
      <c r="I4" s="12" t="s">
        <v>8</v>
      </c>
      <c r="J4" s="13">
        <v>1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/>
      <c r="D5">
        <v>313</v>
      </c>
      <c r="E5">
        <v>22</v>
      </c>
      <c r="F5">
        <v>68</v>
      </c>
      <c r="G5">
        <v>90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/>
      <c r="D6">
        <v>314</v>
      </c>
      <c r="E6">
        <v>21</v>
      </c>
      <c r="F6">
        <v>67</v>
      </c>
      <c r="G6">
        <v>88</v>
      </c>
      <c r="H6" s="11"/>
      <c r="I6" s="15" t="s">
        <v>9</v>
      </c>
      <c r="J6" s="16" t="s">
        <v>27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/>
      <c r="D7">
        <v>313</v>
      </c>
      <c r="E7">
        <v>20</v>
      </c>
      <c r="F7">
        <v>66</v>
      </c>
      <c r="G7">
        <v>86</v>
      </c>
      <c r="H7" s="11"/>
      <c r="I7" s="17" t="s">
        <v>10</v>
      </c>
      <c r="J7" s="18">
        <v>18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/>
      <c r="D8">
        <v>312</v>
      </c>
      <c r="E8">
        <v>22</v>
      </c>
      <c r="F8">
        <v>67</v>
      </c>
      <c r="G8">
        <v>89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/>
      <c r="D9">
        <v>314</v>
      </c>
      <c r="E9">
        <v>20</v>
      </c>
      <c r="F9">
        <v>66</v>
      </c>
      <c r="G9">
        <v>86</v>
      </c>
      <c r="H9" s="11"/>
      <c r="I9" s="15" t="s">
        <v>11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/>
      <c r="D10">
        <v>317</v>
      </c>
      <c r="E10">
        <v>22</v>
      </c>
      <c r="F10">
        <v>64</v>
      </c>
      <c r="G10">
        <v>86</v>
      </c>
      <c r="H10" s="11"/>
      <c r="I10" s="17" t="s">
        <v>12</v>
      </c>
      <c r="J10" s="21" t="s">
        <v>13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/>
      <c r="D11">
        <v>317</v>
      </c>
      <c r="E11">
        <v>21</v>
      </c>
      <c r="F11">
        <v>68</v>
      </c>
      <c r="G11">
        <v>89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/>
      <c r="D12">
        <v>313</v>
      </c>
      <c r="E12">
        <v>22</v>
      </c>
      <c r="F12">
        <v>65</v>
      </c>
      <c r="G12">
        <v>87</v>
      </c>
      <c r="H12" s="11"/>
      <c r="I12" s="15" t="s">
        <v>14</v>
      </c>
      <c r="J12" s="16">
        <v>624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/>
      <c r="D13">
        <v>316</v>
      </c>
      <c r="E13">
        <v>20</v>
      </c>
      <c r="F13">
        <v>68</v>
      </c>
      <c r="G13">
        <v>88</v>
      </c>
      <c r="H13" s="11"/>
      <c r="I13" s="24" t="s">
        <v>15</v>
      </c>
      <c r="J13" s="25">
        <f>J12+J7</f>
        <v>642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/>
      <c r="D14">
        <v>313</v>
      </c>
      <c r="E14">
        <v>21</v>
      </c>
      <c r="F14">
        <v>70</v>
      </c>
      <c r="G14">
        <v>91</v>
      </c>
      <c r="H14" s="11"/>
      <c r="I14" s="24" t="s">
        <v>16</v>
      </c>
      <c r="J14" s="26">
        <v>630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/>
      <c r="D15">
        <v>311</v>
      </c>
      <c r="E15">
        <v>22</v>
      </c>
      <c r="F15">
        <v>72</v>
      </c>
      <c r="G15">
        <v>94</v>
      </c>
      <c r="H15" s="11"/>
      <c r="I15" s="17" t="s">
        <v>17</v>
      </c>
      <c r="J15" s="21">
        <f>J13-J14</f>
        <v>12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/>
      <c r="D16">
        <v>305</v>
      </c>
      <c r="E16">
        <v>20</v>
      </c>
      <c r="F16">
        <v>70</v>
      </c>
      <c r="G16">
        <v>90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/>
      <c r="D17">
        <v>308</v>
      </c>
      <c r="E17">
        <v>22</v>
      </c>
      <c r="F17">
        <v>68</v>
      </c>
      <c r="G17">
        <v>90</v>
      </c>
      <c r="H17" s="11"/>
      <c r="I17" s="15" t="s">
        <v>18</v>
      </c>
      <c r="J17" s="16">
        <v>48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/>
      <c r="D18">
        <v>309</v>
      </c>
      <c r="E18">
        <v>22</v>
      </c>
      <c r="F18">
        <v>72</v>
      </c>
      <c r="G18">
        <v>94</v>
      </c>
      <c r="H18" s="11"/>
      <c r="I18" s="24" t="s">
        <v>19</v>
      </c>
      <c r="J18" s="25">
        <v>48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/>
      <c r="D19">
        <v>309</v>
      </c>
      <c r="E19">
        <v>20</v>
      </c>
      <c r="F19">
        <v>69</v>
      </c>
      <c r="G19">
        <v>89</v>
      </c>
      <c r="H19" s="11"/>
      <c r="I19" s="24" t="s">
        <v>20</v>
      </c>
      <c r="J19" s="25">
        <v>19.399999999999999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6.5" x14ac:dyDescent="0.25">
      <c r="A20" s="1"/>
      <c r="B20" s="8">
        <f t="shared" si="0"/>
        <v>17</v>
      </c>
      <c r="C20" s="9"/>
      <c r="D20">
        <v>312</v>
      </c>
      <c r="E20">
        <v>22</v>
      </c>
      <c r="F20">
        <v>68</v>
      </c>
      <c r="G20">
        <v>90</v>
      </c>
      <c r="H20" s="11"/>
      <c r="I20" s="29" t="s">
        <v>28</v>
      </c>
      <c r="J20" s="30">
        <f>J18-J19</f>
        <v>28.6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/>
      <c r="D21">
        <v>310</v>
      </c>
      <c r="E21">
        <v>21</v>
      </c>
      <c r="F21">
        <v>71</v>
      </c>
      <c r="G21">
        <v>92</v>
      </c>
      <c r="H21" s="11"/>
      <c r="I21" s="31"/>
      <c r="J21" s="32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/>
      <c r="D22">
        <v>310</v>
      </c>
      <c r="E22">
        <v>22</v>
      </c>
      <c r="F22">
        <v>71</v>
      </c>
      <c r="G22">
        <v>93</v>
      </c>
      <c r="H22" s="11"/>
      <c r="I22" s="15" t="s">
        <v>21</v>
      </c>
      <c r="J22" s="16">
        <f>COUNT(G4:G100)</f>
        <v>97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/>
      <c r="D23">
        <v>303</v>
      </c>
      <c r="E23">
        <v>22</v>
      </c>
      <c r="F23">
        <v>69</v>
      </c>
      <c r="G23">
        <v>91</v>
      </c>
      <c r="H23" s="11"/>
      <c r="I23" s="17" t="s">
        <v>22</v>
      </c>
      <c r="J23" s="21">
        <f>J15/J22</f>
        <v>0.12371134020618557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/>
      <c r="D24">
        <v>313</v>
      </c>
      <c r="E24">
        <v>21</v>
      </c>
      <c r="F24">
        <v>69</v>
      </c>
      <c r="G24">
        <v>90</v>
      </c>
      <c r="H24" s="11"/>
      <c r="I24" s="14"/>
      <c r="J24" s="33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/>
      <c r="D25">
        <v>312</v>
      </c>
      <c r="E25">
        <v>23</v>
      </c>
      <c r="F25">
        <v>71</v>
      </c>
      <c r="G25">
        <v>94</v>
      </c>
      <c r="H25" s="11"/>
      <c r="I25" s="15" t="s">
        <v>23</v>
      </c>
      <c r="J25" s="16">
        <f>AVERAGE(E4:E1048576)</f>
        <v>26.164948453608247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/>
      <c r="D26">
        <v>305</v>
      </c>
      <c r="E26">
        <v>21</v>
      </c>
      <c r="F26">
        <v>71</v>
      </c>
      <c r="G26">
        <v>92</v>
      </c>
      <c r="H26" s="11"/>
      <c r="I26" s="24" t="s">
        <v>24</v>
      </c>
      <c r="J26" s="25">
        <f>AVERAGE(F4:F1048576)</f>
        <v>69.329896907216494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/>
      <c r="D27">
        <v>308</v>
      </c>
      <c r="E27">
        <v>21</v>
      </c>
      <c r="F27">
        <v>69</v>
      </c>
      <c r="G27">
        <v>90</v>
      </c>
      <c r="H27" s="11"/>
      <c r="I27" s="17" t="s">
        <v>25</v>
      </c>
      <c r="J27" s="21">
        <f>AVERAGE(D5:D1048576)</f>
        <v>304.05050505050502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/>
      <c r="D28">
        <v>310</v>
      </c>
      <c r="E28">
        <v>22</v>
      </c>
      <c r="F28">
        <v>70</v>
      </c>
      <c r="G28">
        <v>92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/>
      <c r="D29">
        <v>309</v>
      </c>
      <c r="E29">
        <v>22</v>
      </c>
      <c r="F29">
        <v>70</v>
      </c>
      <c r="G29">
        <v>92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/>
      <c r="D30">
        <v>314</v>
      </c>
      <c r="E30">
        <v>22</v>
      </c>
      <c r="F30">
        <v>69</v>
      </c>
      <c r="G30">
        <v>91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/>
      <c r="D31">
        <v>308</v>
      </c>
      <c r="E31">
        <v>21</v>
      </c>
      <c r="F31">
        <v>71</v>
      </c>
      <c r="G31">
        <v>92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/>
      <c r="D32">
        <v>308</v>
      </c>
      <c r="E32">
        <v>22</v>
      </c>
      <c r="F32">
        <v>70</v>
      </c>
      <c r="G32">
        <v>92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/>
      <c r="D33">
        <v>311</v>
      </c>
      <c r="E33">
        <v>22</v>
      </c>
      <c r="F33">
        <v>70</v>
      </c>
      <c r="G33">
        <v>92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/>
      <c r="D34">
        <v>306</v>
      </c>
      <c r="E34">
        <v>21</v>
      </c>
      <c r="F34">
        <v>68</v>
      </c>
      <c r="G34">
        <v>89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/>
      <c r="D35">
        <v>311</v>
      </c>
      <c r="E35">
        <v>23</v>
      </c>
      <c r="F35">
        <v>69</v>
      </c>
      <c r="G35">
        <v>92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/>
      <c r="D36">
        <v>311</v>
      </c>
      <c r="E36">
        <v>22</v>
      </c>
      <c r="F36">
        <v>73</v>
      </c>
      <c r="G36">
        <v>95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/>
      <c r="D37">
        <v>301</v>
      </c>
      <c r="E37">
        <v>22</v>
      </c>
      <c r="F37">
        <v>71</v>
      </c>
      <c r="G37">
        <v>93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/>
      <c r="D38">
        <v>307</v>
      </c>
      <c r="E38">
        <v>23</v>
      </c>
      <c r="F38">
        <v>70</v>
      </c>
      <c r="G38">
        <v>93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/>
      <c r="D39">
        <v>306</v>
      </c>
      <c r="E39">
        <v>22</v>
      </c>
      <c r="F39">
        <v>72</v>
      </c>
      <c r="G39">
        <v>94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/>
      <c r="D40">
        <v>308</v>
      </c>
      <c r="E40">
        <v>22</v>
      </c>
      <c r="F40">
        <v>71</v>
      </c>
      <c r="G40">
        <v>93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/>
      <c r="D41">
        <v>305</v>
      </c>
      <c r="E41">
        <v>23</v>
      </c>
      <c r="F41">
        <v>71</v>
      </c>
      <c r="G41">
        <v>94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/>
      <c r="D42">
        <v>306</v>
      </c>
      <c r="E42">
        <v>23</v>
      </c>
      <c r="F42">
        <v>71</v>
      </c>
      <c r="G42">
        <v>94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/>
      <c r="D43">
        <v>308</v>
      </c>
      <c r="E43">
        <v>24</v>
      </c>
      <c r="F43">
        <v>70</v>
      </c>
      <c r="G43">
        <v>94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/>
      <c r="D44">
        <v>311</v>
      </c>
      <c r="E44">
        <v>23</v>
      </c>
      <c r="F44">
        <v>72</v>
      </c>
      <c r="G44">
        <v>95</v>
      </c>
      <c r="H44" s="11"/>
      <c r="I44" s="11"/>
      <c r="J44" s="11"/>
      <c r="K44" s="11"/>
      <c r="L44" s="11"/>
      <c r="M44" s="1"/>
      <c r="N44" s="1"/>
      <c r="O44" s="1" t="s">
        <v>26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/>
      <c r="D45">
        <v>302</v>
      </c>
      <c r="E45">
        <v>23</v>
      </c>
      <c r="F45">
        <v>71</v>
      </c>
      <c r="G45">
        <v>94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/>
      <c r="D46">
        <v>307</v>
      </c>
      <c r="E46">
        <v>25</v>
      </c>
      <c r="F46">
        <v>72</v>
      </c>
      <c r="G46">
        <v>97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/>
      <c r="D47">
        <v>302</v>
      </c>
      <c r="E47">
        <v>24</v>
      </c>
      <c r="F47">
        <v>71</v>
      </c>
      <c r="G47">
        <v>95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/>
      <c r="D48">
        <v>306</v>
      </c>
      <c r="E48">
        <v>25</v>
      </c>
      <c r="F48">
        <v>69</v>
      </c>
      <c r="G48">
        <v>94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/>
      <c r="D49">
        <v>303</v>
      </c>
      <c r="E49">
        <v>25</v>
      </c>
      <c r="F49">
        <v>70</v>
      </c>
      <c r="G49">
        <v>95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/>
      <c r="D50">
        <v>305</v>
      </c>
      <c r="E50">
        <v>24</v>
      </c>
      <c r="F50">
        <v>71</v>
      </c>
      <c r="G50">
        <v>95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/>
      <c r="D51">
        <v>314</v>
      </c>
      <c r="E51">
        <v>25</v>
      </c>
      <c r="F51">
        <v>69</v>
      </c>
      <c r="G51">
        <v>94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/>
      <c r="D52">
        <v>303</v>
      </c>
      <c r="E52">
        <v>24</v>
      </c>
      <c r="F52">
        <v>69</v>
      </c>
      <c r="G52">
        <v>93</v>
      </c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/>
      <c r="D53">
        <v>303</v>
      </c>
      <c r="E53">
        <v>24</v>
      </c>
      <c r="F53">
        <v>71</v>
      </c>
      <c r="G53">
        <v>95</v>
      </c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/>
      <c r="D54">
        <v>307</v>
      </c>
      <c r="E54">
        <v>25</v>
      </c>
      <c r="F54">
        <v>68</v>
      </c>
      <c r="G54">
        <v>93</v>
      </c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/>
      <c r="D55">
        <v>308</v>
      </c>
      <c r="E55">
        <v>24</v>
      </c>
      <c r="F55">
        <v>71</v>
      </c>
      <c r="G55">
        <v>95</v>
      </c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/>
      <c r="D56">
        <v>303</v>
      </c>
      <c r="E56">
        <v>26</v>
      </c>
      <c r="F56">
        <v>69</v>
      </c>
      <c r="G56">
        <v>95</v>
      </c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/>
      <c r="D57">
        <v>303</v>
      </c>
      <c r="E57">
        <v>26</v>
      </c>
      <c r="F57">
        <v>72</v>
      </c>
      <c r="G57">
        <v>98</v>
      </c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/>
      <c r="D58">
        <v>303</v>
      </c>
      <c r="E58">
        <v>25</v>
      </c>
      <c r="F58">
        <v>67</v>
      </c>
      <c r="G58">
        <v>92</v>
      </c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/>
      <c r="D59">
        <v>309</v>
      </c>
      <c r="E59">
        <v>26</v>
      </c>
      <c r="F59">
        <v>67</v>
      </c>
      <c r="G59">
        <v>93</v>
      </c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/>
      <c r="D60">
        <v>310</v>
      </c>
      <c r="E60">
        <v>25</v>
      </c>
      <c r="F60">
        <v>73</v>
      </c>
      <c r="G60">
        <v>98</v>
      </c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/>
      <c r="D61">
        <v>298</v>
      </c>
      <c r="E61">
        <v>25</v>
      </c>
      <c r="F61">
        <v>69</v>
      </c>
      <c r="G61">
        <v>94</v>
      </c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/>
      <c r="D62">
        <v>303</v>
      </c>
      <c r="E62">
        <v>26</v>
      </c>
      <c r="F62">
        <v>71</v>
      </c>
      <c r="G62">
        <v>97</v>
      </c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/>
      <c r="D63">
        <v>306</v>
      </c>
      <c r="E63">
        <v>25</v>
      </c>
      <c r="F63">
        <v>69</v>
      </c>
      <c r="G63">
        <v>94</v>
      </c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/>
      <c r="D64">
        <v>302</v>
      </c>
      <c r="E64">
        <v>28</v>
      </c>
      <c r="F64">
        <v>67</v>
      </c>
      <c r="G64">
        <v>95</v>
      </c>
      <c r="H64" s="11"/>
      <c r="I64" s="34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/>
      <c r="D65">
        <v>309</v>
      </c>
      <c r="E65">
        <v>27</v>
      </c>
      <c r="F65">
        <v>68</v>
      </c>
      <c r="G65">
        <v>95</v>
      </c>
      <c r="H65" s="11"/>
      <c r="I65" s="34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/>
      <c r="D66">
        <v>303</v>
      </c>
      <c r="E66">
        <v>27</v>
      </c>
      <c r="F66">
        <v>69</v>
      </c>
      <c r="G66">
        <v>96</v>
      </c>
      <c r="H66" s="11"/>
      <c r="I66" s="34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35"/>
      <c r="D67">
        <v>302</v>
      </c>
      <c r="E67">
        <v>27</v>
      </c>
      <c r="F67">
        <v>69</v>
      </c>
      <c r="G67">
        <v>96</v>
      </c>
      <c r="H67" s="11"/>
      <c r="I67" s="34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/>
      <c r="D68">
        <v>304</v>
      </c>
      <c r="E68">
        <v>27</v>
      </c>
      <c r="F68">
        <v>70</v>
      </c>
      <c r="G68">
        <v>97</v>
      </c>
      <c r="H68" s="11"/>
      <c r="I68" s="34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35"/>
      <c r="D69">
        <v>304</v>
      </c>
      <c r="E69">
        <v>26</v>
      </c>
      <c r="F69">
        <v>71</v>
      </c>
      <c r="G69">
        <v>97</v>
      </c>
      <c r="H69" s="11"/>
      <c r="I69" s="34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/>
      <c r="D70">
        <v>299</v>
      </c>
      <c r="E70">
        <v>28</v>
      </c>
      <c r="F70">
        <v>69</v>
      </c>
      <c r="G70">
        <v>97</v>
      </c>
      <c r="H70" s="11"/>
      <c r="I70" s="34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35"/>
      <c r="D71">
        <v>306</v>
      </c>
      <c r="E71">
        <v>27</v>
      </c>
      <c r="F71">
        <v>72</v>
      </c>
      <c r="G71">
        <v>99</v>
      </c>
      <c r="H71" s="11"/>
      <c r="I71" s="34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35"/>
      <c r="D72">
        <v>300</v>
      </c>
      <c r="E72">
        <v>26</v>
      </c>
      <c r="F72">
        <v>70</v>
      </c>
      <c r="G72">
        <v>96</v>
      </c>
      <c r="H72" s="11"/>
      <c r="I72" s="34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/>
      <c r="D73">
        <v>302</v>
      </c>
      <c r="E73">
        <v>28</v>
      </c>
      <c r="F73">
        <v>71</v>
      </c>
      <c r="G73">
        <v>99</v>
      </c>
      <c r="H73" s="11"/>
      <c r="I73" s="34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/>
      <c r="D74">
        <v>303</v>
      </c>
      <c r="E74">
        <v>26</v>
      </c>
      <c r="F74">
        <v>71</v>
      </c>
      <c r="G74">
        <v>97</v>
      </c>
      <c r="H74" s="11"/>
      <c r="I74" s="34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/>
      <c r="D75">
        <v>303</v>
      </c>
      <c r="E75">
        <v>28</v>
      </c>
      <c r="F75">
        <v>68</v>
      </c>
      <c r="G75">
        <v>96</v>
      </c>
      <c r="H75" s="11"/>
      <c r="I75" s="34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/>
      <c r="D76">
        <v>302</v>
      </c>
      <c r="E76">
        <v>29</v>
      </c>
      <c r="F76">
        <v>70</v>
      </c>
      <c r="G76">
        <v>99</v>
      </c>
      <c r="H76" s="11"/>
      <c r="I76" s="34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/>
      <c r="D77">
        <v>302</v>
      </c>
      <c r="E77">
        <v>29</v>
      </c>
      <c r="F77">
        <v>68</v>
      </c>
      <c r="G77">
        <v>97</v>
      </c>
      <c r="H77" s="11"/>
      <c r="I77" s="34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/>
      <c r="D78">
        <v>301</v>
      </c>
      <c r="E78">
        <v>29</v>
      </c>
      <c r="F78">
        <v>68</v>
      </c>
      <c r="G78">
        <v>97</v>
      </c>
      <c r="H78" s="11"/>
      <c r="I78" s="34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/>
      <c r="D79">
        <v>305</v>
      </c>
      <c r="E79">
        <v>29</v>
      </c>
      <c r="F79">
        <v>69</v>
      </c>
      <c r="G79">
        <v>98</v>
      </c>
      <c r="H79" s="11"/>
      <c r="I79" s="34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/>
      <c r="D80">
        <v>302</v>
      </c>
      <c r="E80">
        <v>30</v>
      </c>
      <c r="F80">
        <v>68</v>
      </c>
      <c r="G80">
        <v>98</v>
      </c>
      <c r="H80" s="11"/>
      <c r="I80" s="34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/>
      <c r="D81">
        <v>300</v>
      </c>
      <c r="E81">
        <v>31</v>
      </c>
      <c r="F81">
        <v>67</v>
      </c>
      <c r="G81">
        <v>98</v>
      </c>
      <c r="H81" s="11"/>
      <c r="I81" s="34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/>
      <c r="D82">
        <v>304</v>
      </c>
      <c r="E82">
        <v>30</v>
      </c>
      <c r="F82">
        <v>69</v>
      </c>
      <c r="G82">
        <v>99</v>
      </c>
      <c r="H82" s="11"/>
      <c r="I82" s="34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/>
      <c r="D83">
        <v>298</v>
      </c>
      <c r="E83">
        <v>31</v>
      </c>
      <c r="F83">
        <v>68</v>
      </c>
      <c r="G83">
        <v>99</v>
      </c>
      <c r="H83" s="11"/>
      <c r="I83" s="34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/>
      <c r="D84">
        <v>302</v>
      </c>
      <c r="E84">
        <v>31</v>
      </c>
      <c r="F84">
        <v>68</v>
      </c>
      <c r="G84">
        <v>99</v>
      </c>
      <c r="H84" s="11"/>
      <c r="I84" s="34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/>
      <c r="D85">
        <v>303</v>
      </c>
      <c r="E85">
        <v>29</v>
      </c>
      <c r="F85">
        <v>68</v>
      </c>
      <c r="G85">
        <v>97</v>
      </c>
      <c r="H85" s="11"/>
      <c r="I85" s="34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35"/>
      <c r="D86">
        <v>299</v>
      </c>
      <c r="E86">
        <v>31</v>
      </c>
      <c r="F86">
        <v>67</v>
      </c>
      <c r="G86">
        <v>98</v>
      </c>
      <c r="H86" s="11"/>
      <c r="I86" s="34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D87">
        <v>303</v>
      </c>
      <c r="E87">
        <v>32</v>
      </c>
      <c r="F87">
        <v>70</v>
      </c>
      <c r="G87">
        <v>102</v>
      </c>
      <c r="H87" s="11"/>
      <c r="I87" s="34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D88">
        <v>300</v>
      </c>
      <c r="E88">
        <v>32</v>
      </c>
      <c r="F88">
        <v>67</v>
      </c>
      <c r="G88">
        <v>99</v>
      </c>
      <c r="H88" s="11"/>
      <c r="I88" s="40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D89">
        <v>298</v>
      </c>
      <c r="E89">
        <v>34</v>
      </c>
      <c r="F89">
        <v>68</v>
      </c>
      <c r="G89">
        <v>102</v>
      </c>
      <c r="H89" s="11"/>
      <c r="I89" s="40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D90">
        <v>296</v>
      </c>
      <c r="E90">
        <v>35</v>
      </c>
      <c r="F90">
        <v>68</v>
      </c>
      <c r="G90">
        <v>103</v>
      </c>
      <c r="H90" s="11"/>
      <c r="I90" s="40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D91">
        <v>299</v>
      </c>
      <c r="E91">
        <v>36</v>
      </c>
      <c r="F91">
        <v>67</v>
      </c>
      <c r="G91">
        <v>103</v>
      </c>
      <c r="H91" s="11"/>
      <c r="I91" s="40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D92">
        <v>295</v>
      </c>
      <c r="E92">
        <v>35</v>
      </c>
      <c r="F92">
        <v>68</v>
      </c>
      <c r="G92">
        <v>103</v>
      </c>
      <c r="H92" s="11"/>
      <c r="I92" s="34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D93">
        <v>299</v>
      </c>
      <c r="E93">
        <v>36</v>
      </c>
      <c r="F93">
        <v>69</v>
      </c>
      <c r="G93">
        <v>105</v>
      </c>
      <c r="H93" s="11"/>
      <c r="I93" s="40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D94">
        <v>293</v>
      </c>
      <c r="E94">
        <v>37</v>
      </c>
      <c r="F94">
        <v>68</v>
      </c>
      <c r="G94">
        <v>105</v>
      </c>
      <c r="H94" s="11"/>
      <c r="I94" s="40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>
        <v>293</v>
      </c>
      <c r="E95">
        <v>37</v>
      </c>
      <c r="F95">
        <v>68</v>
      </c>
      <c r="G95">
        <v>105</v>
      </c>
      <c r="H95" s="11"/>
      <c r="I95" s="34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>
        <v>298</v>
      </c>
      <c r="E96">
        <v>38</v>
      </c>
      <c r="F96">
        <v>69</v>
      </c>
      <c r="G96">
        <v>107</v>
      </c>
      <c r="H96" s="11"/>
      <c r="I96" s="34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>
        <v>290</v>
      </c>
      <c r="E97">
        <v>39</v>
      </c>
      <c r="F97">
        <v>68</v>
      </c>
      <c r="G97">
        <v>107</v>
      </c>
      <c r="H97" s="11"/>
      <c r="I97" s="34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>
        <v>292</v>
      </c>
      <c r="E98">
        <v>45</v>
      </c>
      <c r="F98">
        <v>74</v>
      </c>
      <c r="G98">
        <v>119</v>
      </c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>
        <v>280</v>
      </c>
      <c r="E99">
        <v>43</v>
      </c>
      <c r="F99">
        <v>70</v>
      </c>
      <c r="G99">
        <v>113</v>
      </c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>
        <v>285</v>
      </c>
      <c r="E100">
        <v>44</v>
      </c>
      <c r="F100">
        <v>73</v>
      </c>
      <c r="G100">
        <v>117</v>
      </c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>
        <v>283</v>
      </c>
      <c r="F101" t="s">
        <v>26</v>
      </c>
      <c r="G101">
        <v>124</v>
      </c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>
        <v>275</v>
      </c>
      <c r="F102" t="s">
        <v>26</v>
      </c>
      <c r="G102">
        <v>124</v>
      </c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>
        <v>275</v>
      </c>
      <c r="F103" t="s">
        <v>26</v>
      </c>
      <c r="G103">
        <v>123</v>
      </c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BL_HST[CH3]" sqref="F4:F86" xr:uid="{558ABA63-51B8-4344-86F6-F07AFC042965}"/>
    <dataValidation allowBlank="1" showInputMessage="1" showErrorMessage="1" prompt="TBL_HST[CH2]" sqref="E4:E86" xr:uid="{AA98A11B-CA35-4D3F-864E-DA3204EC8A60}"/>
    <dataValidation allowBlank="1" showInputMessage="1" showErrorMessage="1" prompt="TBL_HST[CH4]" sqref="G4:G86" xr:uid="{32DA6779-9B0A-403F-B4A8-D97AD8D28816}"/>
    <dataValidation allowBlank="1" showInputMessage="1" showErrorMessage="1" prompt="TBL_HST[CH1]" sqref="D4:D86" xr:uid="{9C32124F-2ABF-403E-B32B-D6C5E6D6A493}"/>
    <dataValidation allowBlank="1" showInputMessage="1" showErrorMessage="1" prompt="Time_x000d__x000a__x000d__x000a_TBL_HST[TIME]" sqref="C4:C86" xr:uid="{8230B55C-1F56-4B47-AE25-A27BA34B0FE9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FAE8A-A25F-4A0F-BD25-A17E4D4B7905}">
  <sheetPr codeName="Sheet15"/>
  <dimension ref="A1:AH2445"/>
  <sheetViews>
    <sheetView topLeftCell="B1" zoomScaleNormal="100" workbookViewId="0">
      <selection activeCell="J23" sqref="J23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/>
      <c r="D4">
        <v>11057</v>
      </c>
      <c r="E4">
        <v>20</v>
      </c>
      <c r="F4">
        <v>65</v>
      </c>
      <c r="G4">
        <v>85</v>
      </c>
      <c r="H4" s="11"/>
      <c r="I4" s="12" t="s">
        <v>8</v>
      </c>
      <c r="J4" s="13">
        <v>2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/>
      <c r="D5">
        <v>313</v>
      </c>
      <c r="E5">
        <v>21</v>
      </c>
      <c r="F5">
        <v>66</v>
      </c>
      <c r="G5">
        <v>87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/>
      <c r="D6">
        <v>319</v>
      </c>
      <c r="E6">
        <v>21</v>
      </c>
      <c r="F6">
        <v>65</v>
      </c>
      <c r="G6">
        <v>86</v>
      </c>
      <c r="H6" s="11"/>
      <c r="I6" s="15" t="s">
        <v>9</v>
      </c>
      <c r="J6" s="16" t="s">
        <v>27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/>
      <c r="D7">
        <v>317</v>
      </c>
      <c r="E7">
        <v>21</v>
      </c>
      <c r="F7">
        <v>64</v>
      </c>
      <c r="G7">
        <v>85</v>
      </c>
      <c r="H7" s="11"/>
      <c r="I7" s="17" t="s">
        <v>10</v>
      </c>
      <c r="J7" s="18">
        <v>18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/>
      <c r="D8">
        <v>318</v>
      </c>
      <c r="E8">
        <v>20</v>
      </c>
      <c r="F8">
        <v>65</v>
      </c>
      <c r="G8">
        <v>85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/>
      <c r="D9">
        <v>316</v>
      </c>
      <c r="E9">
        <v>22</v>
      </c>
      <c r="F9">
        <v>65</v>
      </c>
      <c r="G9">
        <v>87</v>
      </c>
      <c r="H9" s="11"/>
      <c r="I9" s="15" t="s">
        <v>11</v>
      </c>
      <c r="J9" s="16">
        <v>4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/>
      <c r="D10">
        <v>311</v>
      </c>
      <c r="E10">
        <v>22</v>
      </c>
      <c r="F10">
        <v>68</v>
      </c>
      <c r="G10">
        <v>90</v>
      </c>
      <c r="H10" s="11"/>
      <c r="I10" s="17" t="s">
        <v>12</v>
      </c>
      <c r="J10" s="21" t="s">
        <v>13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/>
      <c r="D11">
        <v>314</v>
      </c>
      <c r="E11">
        <v>21</v>
      </c>
      <c r="F11">
        <v>67</v>
      </c>
      <c r="G11">
        <v>88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/>
      <c r="D12">
        <v>324</v>
      </c>
      <c r="E12">
        <v>21</v>
      </c>
      <c r="F12">
        <v>68</v>
      </c>
      <c r="G12">
        <v>89</v>
      </c>
      <c r="H12" s="11"/>
      <c r="I12" s="15" t="s">
        <v>14</v>
      </c>
      <c r="J12" s="16">
        <v>624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/>
      <c r="D13">
        <v>310</v>
      </c>
      <c r="E13">
        <v>20</v>
      </c>
      <c r="F13">
        <v>68</v>
      </c>
      <c r="G13">
        <v>88</v>
      </c>
      <c r="H13" s="11"/>
      <c r="I13" s="24" t="s">
        <v>15</v>
      </c>
      <c r="J13" s="25">
        <f>J12+J7</f>
        <v>642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/>
      <c r="D14">
        <v>309</v>
      </c>
      <c r="E14">
        <v>22</v>
      </c>
      <c r="F14">
        <v>68</v>
      </c>
      <c r="G14">
        <v>90</v>
      </c>
      <c r="H14" s="11"/>
      <c r="I14" s="24" t="s">
        <v>16</v>
      </c>
      <c r="J14" s="26">
        <v>631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/>
      <c r="D15">
        <v>311</v>
      </c>
      <c r="E15">
        <v>21</v>
      </c>
      <c r="F15">
        <v>70</v>
      </c>
      <c r="G15">
        <v>91</v>
      </c>
      <c r="H15" s="11"/>
      <c r="I15" s="17" t="s">
        <v>17</v>
      </c>
      <c r="J15" s="21">
        <f>J13-J14</f>
        <v>11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/>
      <c r="D16">
        <v>309</v>
      </c>
      <c r="E16">
        <v>22</v>
      </c>
      <c r="F16">
        <v>68</v>
      </c>
      <c r="G16">
        <v>90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/>
      <c r="D17">
        <v>314</v>
      </c>
      <c r="E17">
        <v>23</v>
      </c>
      <c r="F17">
        <v>71</v>
      </c>
      <c r="G17">
        <v>94</v>
      </c>
      <c r="H17" s="11"/>
      <c r="I17" s="15" t="s">
        <v>18</v>
      </c>
      <c r="J17" s="16">
        <v>52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/>
      <c r="D18">
        <v>306</v>
      </c>
      <c r="E18">
        <v>22</v>
      </c>
      <c r="F18">
        <v>70</v>
      </c>
      <c r="G18">
        <v>92</v>
      </c>
      <c r="H18" s="11"/>
      <c r="I18" s="24" t="s">
        <v>19</v>
      </c>
      <c r="J18" s="25">
        <v>48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/>
      <c r="D19">
        <v>318</v>
      </c>
      <c r="F19" t="s">
        <v>26</v>
      </c>
      <c r="G19">
        <v>91</v>
      </c>
      <c r="H19" s="11"/>
      <c r="I19" s="24" t="s">
        <v>20</v>
      </c>
      <c r="J19" s="25">
        <v>21.6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6.5" x14ac:dyDescent="0.25">
      <c r="A20" s="1"/>
      <c r="B20" s="8">
        <f t="shared" si="0"/>
        <v>17</v>
      </c>
      <c r="C20" s="9"/>
      <c r="D20">
        <v>300</v>
      </c>
      <c r="E20">
        <v>21</v>
      </c>
      <c r="F20">
        <v>69</v>
      </c>
      <c r="G20">
        <v>90</v>
      </c>
      <c r="H20" s="11"/>
      <c r="I20" s="29" t="s">
        <v>28</v>
      </c>
      <c r="J20" s="30">
        <f>J18-J19</f>
        <v>26.4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/>
      <c r="D21">
        <v>321</v>
      </c>
      <c r="E21">
        <v>22</v>
      </c>
      <c r="F21">
        <v>68</v>
      </c>
      <c r="G21">
        <v>90</v>
      </c>
      <c r="H21" s="11"/>
      <c r="I21" s="31"/>
      <c r="J21" s="32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/>
      <c r="D22">
        <v>308</v>
      </c>
      <c r="E22">
        <v>22</v>
      </c>
      <c r="F22">
        <v>66</v>
      </c>
      <c r="G22">
        <v>88</v>
      </c>
      <c r="H22" s="11"/>
      <c r="I22" s="15" t="s">
        <v>21</v>
      </c>
      <c r="J22" s="16">
        <f>COUNT(G4:G99)</f>
        <v>96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/>
      <c r="D23">
        <v>311</v>
      </c>
      <c r="E23">
        <v>22</v>
      </c>
      <c r="F23">
        <v>68</v>
      </c>
      <c r="G23">
        <v>90</v>
      </c>
      <c r="H23" s="11"/>
      <c r="I23" s="17" t="s">
        <v>22</v>
      </c>
      <c r="J23" s="21">
        <f>J15/J22</f>
        <v>0.11458333333333333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/>
      <c r="D24">
        <v>303</v>
      </c>
      <c r="E24">
        <v>23</v>
      </c>
      <c r="F24">
        <v>66</v>
      </c>
      <c r="G24">
        <v>89</v>
      </c>
      <c r="H24" s="11"/>
      <c r="I24" s="14"/>
      <c r="J24" s="33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/>
      <c r="D25">
        <v>315</v>
      </c>
      <c r="E25">
        <v>21</v>
      </c>
      <c r="F25">
        <v>70</v>
      </c>
      <c r="G25">
        <v>91</v>
      </c>
      <c r="H25" s="11"/>
      <c r="I25" s="15" t="s">
        <v>23</v>
      </c>
      <c r="J25" s="16">
        <f>AVERAGE(E4:E1048576)</f>
        <v>27.043010752688172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/>
      <c r="D26">
        <v>310</v>
      </c>
      <c r="E26">
        <v>23</v>
      </c>
      <c r="F26">
        <v>68</v>
      </c>
      <c r="G26">
        <v>91</v>
      </c>
      <c r="H26" s="11"/>
      <c r="I26" s="24" t="s">
        <v>24</v>
      </c>
      <c r="J26" s="25">
        <f>AVERAGE(F4:F1048576)</f>
        <v>68.247311827956992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/>
      <c r="D27">
        <v>315</v>
      </c>
      <c r="E27">
        <v>22</v>
      </c>
      <c r="F27">
        <v>69</v>
      </c>
      <c r="G27">
        <v>91</v>
      </c>
      <c r="H27" s="11"/>
      <c r="I27" s="17" t="s">
        <v>25</v>
      </c>
      <c r="J27" s="21">
        <f>AVERAGE(D5:D1048576)</f>
        <v>303.98989898989902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/>
      <c r="D28">
        <v>307</v>
      </c>
      <c r="E28">
        <v>22</v>
      </c>
      <c r="F28">
        <v>71</v>
      </c>
      <c r="G28">
        <v>93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/>
      <c r="D29">
        <v>310</v>
      </c>
      <c r="E29">
        <v>22</v>
      </c>
      <c r="F29">
        <v>67</v>
      </c>
      <c r="G29">
        <v>89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/>
      <c r="D30">
        <v>311</v>
      </c>
      <c r="E30">
        <v>21</v>
      </c>
      <c r="F30">
        <v>67</v>
      </c>
      <c r="G30">
        <v>88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/>
      <c r="D31">
        <v>309</v>
      </c>
      <c r="E31">
        <v>23</v>
      </c>
      <c r="F31">
        <v>66</v>
      </c>
      <c r="G31">
        <v>89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/>
      <c r="D32">
        <v>310</v>
      </c>
      <c r="E32">
        <v>24</v>
      </c>
      <c r="F32">
        <v>67</v>
      </c>
      <c r="G32">
        <v>91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/>
      <c r="D33">
        <v>316</v>
      </c>
      <c r="E33">
        <v>23</v>
      </c>
      <c r="F33">
        <v>67</v>
      </c>
      <c r="G33">
        <v>90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/>
      <c r="D34">
        <v>305</v>
      </c>
      <c r="E34">
        <v>24</v>
      </c>
      <c r="F34">
        <v>67</v>
      </c>
      <c r="G34">
        <v>91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/>
      <c r="D35">
        <v>310</v>
      </c>
      <c r="E35">
        <v>23</v>
      </c>
      <c r="F35">
        <v>70</v>
      </c>
      <c r="G35">
        <v>93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/>
      <c r="D36">
        <v>303</v>
      </c>
      <c r="E36">
        <v>23</v>
      </c>
      <c r="F36">
        <v>67</v>
      </c>
      <c r="G36">
        <v>90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/>
      <c r="D37">
        <v>312</v>
      </c>
      <c r="E37">
        <v>25</v>
      </c>
      <c r="F37">
        <v>68</v>
      </c>
      <c r="G37">
        <v>93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/>
      <c r="D38">
        <v>306</v>
      </c>
      <c r="E38">
        <v>23</v>
      </c>
      <c r="F38">
        <v>71</v>
      </c>
      <c r="G38">
        <v>94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/>
      <c r="D39">
        <v>307</v>
      </c>
      <c r="E39">
        <v>23</v>
      </c>
      <c r="F39">
        <v>67</v>
      </c>
      <c r="G39">
        <v>90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/>
      <c r="D40">
        <v>301</v>
      </c>
      <c r="E40">
        <v>25</v>
      </c>
      <c r="F40">
        <v>69</v>
      </c>
      <c r="G40">
        <v>94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/>
      <c r="D41">
        <v>310</v>
      </c>
      <c r="E41">
        <v>24</v>
      </c>
      <c r="F41">
        <v>70</v>
      </c>
      <c r="G41">
        <v>94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/>
      <c r="D42">
        <v>306</v>
      </c>
      <c r="E42">
        <v>25</v>
      </c>
      <c r="F42">
        <v>67</v>
      </c>
      <c r="G42">
        <v>92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/>
      <c r="D43">
        <v>310</v>
      </c>
      <c r="E43">
        <v>25</v>
      </c>
      <c r="F43">
        <v>70</v>
      </c>
      <c r="G43">
        <v>95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/>
      <c r="D44">
        <v>308</v>
      </c>
      <c r="E44">
        <v>24</v>
      </c>
      <c r="F44">
        <v>69</v>
      </c>
      <c r="G44">
        <v>93</v>
      </c>
      <c r="H44" s="11"/>
      <c r="I44" s="11"/>
      <c r="J44" s="11"/>
      <c r="K44" s="11"/>
      <c r="L44" s="11"/>
      <c r="M44" s="1"/>
      <c r="N44" s="1"/>
      <c r="O44" s="1" t="s">
        <v>26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/>
      <c r="D45">
        <v>304</v>
      </c>
      <c r="E45">
        <v>25</v>
      </c>
      <c r="F45">
        <v>69</v>
      </c>
      <c r="G45">
        <v>94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/>
      <c r="D46">
        <v>306</v>
      </c>
      <c r="F46" t="s">
        <v>26</v>
      </c>
      <c r="G46">
        <v>93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/>
      <c r="D47">
        <v>308</v>
      </c>
      <c r="E47">
        <v>25</v>
      </c>
      <c r="F47">
        <v>68</v>
      </c>
      <c r="G47">
        <v>93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/>
      <c r="D48">
        <v>304</v>
      </c>
      <c r="E48">
        <v>26</v>
      </c>
      <c r="F48">
        <v>71</v>
      </c>
      <c r="G48">
        <v>97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/>
      <c r="D49">
        <v>303</v>
      </c>
      <c r="E49">
        <v>24</v>
      </c>
      <c r="F49">
        <v>68</v>
      </c>
      <c r="G49">
        <v>92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/>
      <c r="D50">
        <v>314</v>
      </c>
      <c r="E50">
        <v>26</v>
      </c>
      <c r="F50">
        <v>68</v>
      </c>
      <c r="G50">
        <v>94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/>
      <c r="D51">
        <v>303</v>
      </c>
      <c r="E51">
        <v>26</v>
      </c>
      <c r="F51">
        <v>68</v>
      </c>
      <c r="G51">
        <v>94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/>
      <c r="D52">
        <v>305</v>
      </c>
      <c r="E52">
        <v>25</v>
      </c>
      <c r="F52">
        <v>66</v>
      </c>
      <c r="G52">
        <v>91</v>
      </c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/>
      <c r="D53">
        <v>305</v>
      </c>
      <c r="E53">
        <v>26</v>
      </c>
      <c r="F53">
        <v>67</v>
      </c>
      <c r="G53">
        <v>93</v>
      </c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/>
      <c r="D54">
        <v>306</v>
      </c>
      <c r="E54">
        <v>26</v>
      </c>
      <c r="F54">
        <v>68</v>
      </c>
      <c r="G54">
        <v>94</v>
      </c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/>
      <c r="D55">
        <v>307</v>
      </c>
      <c r="E55">
        <v>25</v>
      </c>
      <c r="F55">
        <v>69</v>
      </c>
      <c r="G55">
        <v>94</v>
      </c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/>
      <c r="D56">
        <v>306</v>
      </c>
      <c r="E56">
        <v>26</v>
      </c>
      <c r="F56">
        <v>69</v>
      </c>
      <c r="G56">
        <v>95</v>
      </c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/>
      <c r="D57">
        <v>312</v>
      </c>
      <c r="E57">
        <v>24</v>
      </c>
      <c r="F57">
        <v>70</v>
      </c>
      <c r="G57">
        <v>94</v>
      </c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/>
      <c r="D58">
        <v>301</v>
      </c>
      <c r="E58">
        <v>26</v>
      </c>
      <c r="F58">
        <v>67</v>
      </c>
      <c r="G58">
        <v>93</v>
      </c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/>
      <c r="D59">
        <v>303</v>
      </c>
      <c r="E59">
        <v>26</v>
      </c>
      <c r="F59">
        <v>70</v>
      </c>
      <c r="G59">
        <v>96</v>
      </c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/>
      <c r="D60">
        <v>312</v>
      </c>
      <c r="F60" t="s">
        <v>26</v>
      </c>
      <c r="G60">
        <v>94</v>
      </c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/>
      <c r="D61">
        <v>303</v>
      </c>
      <c r="E61">
        <v>27</v>
      </c>
      <c r="F61">
        <v>67</v>
      </c>
      <c r="G61">
        <v>94</v>
      </c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/>
      <c r="D62">
        <v>307</v>
      </c>
      <c r="E62">
        <v>27</v>
      </c>
      <c r="F62">
        <v>70</v>
      </c>
      <c r="G62">
        <v>97</v>
      </c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/>
      <c r="D63">
        <v>304</v>
      </c>
      <c r="E63">
        <v>26</v>
      </c>
      <c r="F63">
        <v>68</v>
      </c>
      <c r="G63">
        <v>94</v>
      </c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/>
      <c r="D64">
        <v>297</v>
      </c>
      <c r="E64">
        <v>27</v>
      </c>
      <c r="F64">
        <v>69</v>
      </c>
      <c r="G64">
        <v>96</v>
      </c>
      <c r="H64" s="11"/>
      <c r="I64" s="34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/>
      <c r="D65">
        <v>307</v>
      </c>
      <c r="E65">
        <v>26</v>
      </c>
      <c r="F65">
        <v>70</v>
      </c>
      <c r="G65">
        <v>96</v>
      </c>
      <c r="H65" s="11"/>
      <c r="I65" s="34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/>
      <c r="D66">
        <v>302</v>
      </c>
      <c r="E66">
        <v>26</v>
      </c>
      <c r="F66">
        <v>70</v>
      </c>
      <c r="G66">
        <v>96</v>
      </c>
      <c r="H66" s="11"/>
      <c r="I66" s="34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35"/>
      <c r="D67">
        <v>302</v>
      </c>
      <c r="E67">
        <v>28</v>
      </c>
      <c r="F67">
        <v>69</v>
      </c>
      <c r="G67">
        <v>97</v>
      </c>
      <c r="H67" s="11"/>
      <c r="I67" s="34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/>
      <c r="D68">
        <v>303</v>
      </c>
      <c r="E68">
        <v>28</v>
      </c>
      <c r="F68">
        <v>68</v>
      </c>
      <c r="G68">
        <v>96</v>
      </c>
      <c r="H68" s="11"/>
      <c r="I68" s="34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35"/>
      <c r="D69">
        <v>304</v>
      </c>
      <c r="E69">
        <v>28</v>
      </c>
      <c r="F69">
        <v>68</v>
      </c>
      <c r="G69">
        <v>96</v>
      </c>
      <c r="H69" s="11"/>
      <c r="I69" s="34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/>
      <c r="D70">
        <v>302</v>
      </c>
      <c r="E70">
        <v>28</v>
      </c>
      <c r="F70">
        <v>70</v>
      </c>
      <c r="G70">
        <v>98</v>
      </c>
      <c r="H70" s="11"/>
      <c r="I70" s="34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35"/>
      <c r="D71">
        <v>305</v>
      </c>
      <c r="E71">
        <v>27</v>
      </c>
      <c r="F71">
        <v>68</v>
      </c>
      <c r="G71">
        <v>95</v>
      </c>
      <c r="H71" s="11"/>
      <c r="I71" s="34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35"/>
      <c r="D72">
        <v>302</v>
      </c>
      <c r="E72">
        <v>29</v>
      </c>
      <c r="F72">
        <v>68</v>
      </c>
      <c r="G72">
        <v>97</v>
      </c>
      <c r="H72" s="11"/>
      <c r="I72" s="34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/>
      <c r="D73">
        <v>303</v>
      </c>
      <c r="E73">
        <v>29</v>
      </c>
      <c r="F73">
        <v>67</v>
      </c>
      <c r="G73">
        <v>96</v>
      </c>
      <c r="H73" s="11"/>
      <c r="I73" s="34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/>
      <c r="D74">
        <v>305</v>
      </c>
      <c r="E74">
        <v>28</v>
      </c>
      <c r="F74">
        <v>69</v>
      </c>
      <c r="G74">
        <v>97</v>
      </c>
      <c r="H74" s="11"/>
      <c r="I74" s="34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/>
      <c r="D75">
        <v>299</v>
      </c>
      <c r="E75">
        <v>29</v>
      </c>
      <c r="F75">
        <v>68</v>
      </c>
      <c r="G75">
        <v>97</v>
      </c>
      <c r="H75" s="11"/>
      <c r="I75" s="34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/>
      <c r="D76">
        <v>307</v>
      </c>
      <c r="E76">
        <v>29</v>
      </c>
      <c r="F76">
        <v>70</v>
      </c>
      <c r="G76">
        <v>99</v>
      </c>
      <c r="H76" s="11"/>
      <c r="I76" s="34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/>
      <c r="D77">
        <v>301</v>
      </c>
      <c r="E77">
        <v>31</v>
      </c>
      <c r="F77">
        <v>67</v>
      </c>
      <c r="G77">
        <v>98</v>
      </c>
      <c r="H77" s="11"/>
      <c r="I77" s="34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/>
      <c r="D78">
        <v>302</v>
      </c>
      <c r="E78">
        <v>31</v>
      </c>
      <c r="F78">
        <v>68</v>
      </c>
      <c r="G78">
        <v>99</v>
      </c>
      <c r="H78" s="11"/>
      <c r="I78" s="34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/>
      <c r="D79">
        <v>300</v>
      </c>
      <c r="E79">
        <v>30</v>
      </c>
      <c r="F79">
        <v>68</v>
      </c>
      <c r="G79">
        <v>98</v>
      </c>
      <c r="H79" s="11"/>
      <c r="I79" s="34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/>
      <c r="D80">
        <v>299</v>
      </c>
      <c r="E80">
        <v>32</v>
      </c>
      <c r="F80">
        <v>67</v>
      </c>
      <c r="G80">
        <v>99</v>
      </c>
      <c r="H80" s="11"/>
      <c r="I80" s="34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/>
      <c r="D81">
        <v>303</v>
      </c>
      <c r="E81">
        <v>31</v>
      </c>
      <c r="F81">
        <v>69</v>
      </c>
      <c r="G81">
        <v>100</v>
      </c>
      <c r="H81" s="11"/>
      <c r="I81" s="34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/>
      <c r="D82">
        <v>300</v>
      </c>
      <c r="E82">
        <v>33</v>
      </c>
      <c r="F82">
        <v>66</v>
      </c>
      <c r="G82">
        <v>99</v>
      </c>
      <c r="H82" s="11"/>
      <c r="I82" s="34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/>
      <c r="D83">
        <v>301</v>
      </c>
      <c r="E83">
        <v>33</v>
      </c>
      <c r="F83">
        <v>66</v>
      </c>
      <c r="G83">
        <v>99</v>
      </c>
      <c r="H83" s="11"/>
      <c r="I83" s="34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/>
      <c r="D84">
        <v>300</v>
      </c>
      <c r="E84">
        <v>32</v>
      </c>
      <c r="F84">
        <v>69</v>
      </c>
      <c r="G84">
        <v>101</v>
      </c>
      <c r="H84" s="11"/>
      <c r="I84" s="34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/>
      <c r="D85">
        <v>299</v>
      </c>
      <c r="E85">
        <v>33</v>
      </c>
      <c r="F85">
        <v>67</v>
      </c>
      <c r="G85">
        <v>100</v>
      </c>
      <c r="H85" s="11"/>
      <c r="I85" s="34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35"/>
      <c r="D86">
        <v>303</v>
      </c>
      <c r="E86">
        <v>33</v>
      </c>
      <c r="F86">
        <v>67</v>
      </c>
      <c r="G86">
        <v>100</v>
      </c>
      <c r="H86" s="11"/>
      <c r="I86" s="34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D87">
        <v>297</v>
      </c>
      <c r="E87">
        <v>34</v>
      </c>
      <c r="F87">
        <v>69</v>
      </c>
      <c r="G87">
        <v>103</v>
      </c>
      <c r="H87" s="11"/>
      <c r="I87" s="34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D88">
        <v>293</v>
      </c>
      <c r="E88">
        <v>35</v>
      </c>
      <c r="F88">
        <v>67</v>
      </c>
      <c r="G88">
        <v>102</v>
      </c>
      <c r="H88" s="11"/>
      <c r="I88" s="40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D89">
        <v>301</v>
      </c>
      <c r="E89">
        <v>36</v>
      </c>
      <c r="F89">
        <v>69</v>
      </c>
      <c r="G89">
        <v>105</v>
      </c>
      <c r="H89" s="11"/>
      <c r="I89" s="40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D90">
        <v>291</v>
      </c>
      <c r="E90">
        <v>35</v>
      </c>
      <c r="F90">
        <v>67</v>
      </c>
      <c r="G90">
        <v>102</v>
      </c>
      <c r="H90" s="11"/>
      <c r="I90" s="40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D91">
        <v>296</v>
      </c>
      <c r="E91">
        <v>37</v>
      </c>
      <c r="F91">
        <v>68</v>
      </c>
      <c r="G91">
        <v>105</v>
      </c>
      <c r="H91" s="11"/>
      <c r="I91" s="40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D92">
        <v>295</v>
      </c>
      <c r="E92">
        <v>38</v>
      </c>
      <c r="F92">
        <v>68</v>
      </c>
      <c r="G92">
        <v>106</v>
      </c>
      <c r="H92" s="11"/>
      <c r="I92" s="34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D93">
        <v>293</v>
      </c>
      <c r="E93">
        <v>39</v>
      </c>
      <c r="F93">
        <v>68</v>
      </c>
      <c r="G93">
        <v>107</v>
      </c>
      <c r="H93" s="11"/>
      <c r="I93" s="40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D94">
        <v>291</v>
      </c>
      <c r="E94">
        <v>38</v>
      </c>
      <c r="F94">
        <v>67</v>
      </c>
      <c r="G94">
        <v>105</v>
      </c>
      <c r="H94" s="11"/>
      <c r="I94" s="40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>
        <v>295</v>
      </c>
      <c r="E95">
        <v>42</v>
      </c>
      <c r="F95">
        <v>72</v>
      </c>
      <c r="G95">
        <v>114</v>
      </c>
      <c r="H95" s="11"/>
      <c r="I95" s="34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>
        <v>287</v>
      </c>
      <c r="E96">
        <v>39</v>
      </c>
      <c r="F96">
        <v>69</v>
      </c>
      <c r="G96">
        <v>108</v>
      </c>
      <c r="H96" s="11"/>
      <c r="I96" s="34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>
        <v>290</v>
      </c>
      <c r="E97">
        <v>41</v>
      </c>
      <c r="F97">
        <v>71</v>
      </c>
      <c r="G97">
        <v>112</v>
      </c>
      <c r="H97" s="11"/>
      <c r="I97" s="34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>
        <v>287</v>
      </c>
      <c r="E98">
        <v>48</v>
      </c>
      <c r="F98">
        <v>78</v>
      </c>
      <c r="G98">
        <v>126</v>
      </c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>
        <v>274</v>
      </c>
      <c r="E99">
        <v>42</v>
      </c>
      <c r="F99">
        <v>71</v>
      </c>
      <c r="G99">
        <v>113</v>
      </c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>
        <v>289</v>
      </c>
      <c r="F100" t="s">
        <v>26</v>
      </c>
      <c r="G100">
        <v>124</v>
      </c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>
        <v>274</v>
      </c>
      <c r="F101" t="s">
        <v>26</v>
      </c>
      <c r="G101">
        <v>123</v>
      </c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>
        <v>275</v>
      </c>
      <c r="F102" t="s">
        <v>26</v>
      </c>
      <c r="G102">
        <v>123</v>
      </c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>
        <v>275</v>
      </c>
      <c r="F103" t="s">
        <v>26</v>
      </c>
      <c r="G103">
        <v>123</v>
      </c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ime_x000d__x000a__x000d__x000a_TBL_HST[TIME]" sqref="C4:C86" xr:uid="{7615495C-8836-42F7-A14F-A4B6763CD7A7}"/>
    <dataValidation allowBlank="1" showInputMessage="1" showErrorMessage="1" prompt="TBL_HST[CH1]" sqref="D4:D86" xr:uid="{FA417321-2AD6-4A4E-924F-B5BC2B07499B}"/>
    <dataValidation allowBlank="1" showInputMessage="1" showErrorMessage="1" prompt="TBL_HST[CH4]" sqref="G4:G86" xr:uid="{C1732A94-3BCA-4EF5-BB92-082B57F831DF}"/>
    <dataValidation allowBlank="1" showInputMessage="1" showErrorMessage="1" prompt="TBL_HST[CH2]" sqref="E4:E86" xr:uid="{7082E2D0-9F46-47DB-B060-18A361DE7520}"/>
    <dataValidation allowBlank="1" showInputMessage="1" showErrorMessage="1" prompt="TBL_HST[CH3]" sqref="F4:F86" xr:uid="{BA24A72E-52D4-49AC-A632-B946B20D7252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DC56D-0686-4AA3-AA6A-CFD112455397}">
  <sheetPr codeName="Sheet16"/>
  <dimension ref="A1:AH2445"/>
  <sheetViews>
    <sheetView topLeftCell="B1" zoomScaleNormal="100" workbookViewId="0">
      <selection activeCell="J23" sqref="J23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/>
      <c r="D4">
        <v>23756</v>
      </c>
      <c r="E4">
        <v>22</v>
      </c>
      <c r="F4">
        <v>65</v>
      </c>
      <c r="G4">
        <v>87</v>
      </c>
      <c r="H4" s="11"/>
      <c r="I4" s="12" t="s">
        <v>8</v>
      </c>
      <c r="J4" s="13">
        <v>2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/>
      <c r="D5">
        <v>314</v>
      </c>
      <c r="E5">
        <v>20</v>
      </c>
      <c r="F5">
        <v>68</v>
      </c>
      <c r="G5">
        <v>88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/>
      <c r="D6">
        <v>314</v>
      </c>
      <c r="E6">
        <v>22</v>
      </c>
      <c r="F6">
        <v>66</v>
      </c>
      <c r="G6">
        <v>88</v>
      </c>
      <c r="H6" s="11"/>
      <c r="I6" s="15" t="s">
        <v>9</v>
      </c>
      <c r="J6" s="16" t="s">
        <v>27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/>
      <c r="D7">
        <v>314</v>
      </c>
      <c r="E7">
        <v>21</v>
      </c>
      <c r="F7">
        <v>69</v>
      </c>
      <c r="G7">
        <v>90</v>
      </c>
      <c r="H7" s="11"/>
      <c r="I7" s="17" t="s">
        <v>10</v>
      </c>
      <c r="J7" s="18">
        <v>18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/>
      <c r="D8">
        <v>312</v>
      </c>
      <c r="E8">
        <v>21</v>
      </c>
      <c r="F8">
        <v>67</v>
      </c>
      <c r="G8">
        <v>88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/>
      <c r="D9">
        <v>311</v>
      </c>
      <c r="E9">
        <v>22</v>
      </c>
      <c r="F9">
        <v>66</v>
      </c>
      <c r="G9">
        <v>88</v>
      </c>
      <c r="H9" s="11"/>
      <c r="I9" s="15" t="s">
        <v>11</v>
      </c>
      <c r="J9" s="16">
        <v>4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/>
      <c r="D10">
        <v>296</v>
      </c>
      <c r="E10">
        <v>23</v>
      </c>
      <c r="F10">
        <v>69</v>
      </c>
      <c r="G10">
        <v>92</v>
      </c>
      <c r="H10" s="11"/>
      <c r="I10" s="17" t="s">
        <v>12</v>
      </c>
      <c r="J10" s="21" t="s">
        <v>13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/>
      <c r="D11">
        <v>329</v>
      </c>
      <c r="E11">
        <v>22</v>
      </c>
      <c r="F11">
        <v>70</v>
      </c>
      <c r="G11">
        <v>92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/>
      <c r="D12">
        <v>313</v>
      </c>
      <c r="E12">
        <v>21</v>
      </c>
      <c r="F12">
        <v>68</v>
      </c>
      <c r="G12">
        <v>89</v>
      </c>
      <c r="H12" s="11"/>
      <c r="I12" s="15" t="s">
        <v>14</v>
      </c>
      <c r="J12" s="16">
        <v>624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/>
      <c r="D13">
        <v>291</v>
      </c>
      <c r="E13">
        <v>22</v>
      </c>
      <c r="F13">
        <v>68</v>
      </c>
      <c r="G13">
        <v>90</v>
      </c>
      <c r="H13" s="11"/>
      <c r="I13" s="24" t="s">
        <v>15</v>
      </c>
      <c r="J13" s="25">
        <f>J12+J7</f>
        <v>642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/>
      <c r="D14">
        <v>310</v>
      </c>
      <c r="E14">
        <v>23</v>
      </c>
      <c r="F14">
        <v>69</v>
      </c>
      <c r="G14">
        <v>92</v>
      </c>
      <c r="H14" s="11"/>
      <c r="I14" s="24" t="s">
        <v>16</v>
      </c>
      <c r="J14" s="26">
        <v>630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/>
      <c r="D15">
        <v>311</v>
      </c>
      <c r="E15">
        <v>22</v>
      </c>
      <c r="F15">
        <v>67</v>
      </c>
      <c r="G15">
        <v>89</v>
      </c>
      <c r="H15" s="11"/>
      <c r="I15" s="17" t="s">
        <v>17</v>
      </c>
      <c r="J15" s="21">
        <f>J13-J14</f>
        <v>12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/>
      <c r="D16">
        <v>312</v>
      </c>
      <c r="E16">
        <v>22</v>
      </c>
      <c r="F16">
        <v>71</v>
      </c>
      <c r="G16">
        <v>93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/>
      <c r="D17">
        <v>307</v>
      </c>
      <c r="F17" t="s">
        <v>26</v>
      </c>
      <c r="G17">
        <v>87</v>
      </c>
      <c r="H17" s="11"/>
      <c r="I17" s="15" t="s">
        <v>18</v>
      </c>
      <c r="J17" s="16">
        <v>52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/>
      <c r="D18">
        <v>316</v>
      </c>
      <c r="E18">
        <v>21</v>
      </c>
      <c r="F18">
        <v>70</v>
      </c>
      <c r="G18">
        <v>91</v>
      </c>
      <c r="H18" s="11"/>
      <c r="I18" s="24" t="s">
        <v>19</v>
      </c>
      <c r="J18" s="25">
        <v>48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/>
      <c r="D19">
        <v>329</v>
      </c>
      <c r="E19">
        <v>21</v>
      </c>
      <c r="F19">
        <v>69</v>
      </c>
      <c r="G19">
        <v>90</v>
      </c>
      <c r="H19" s="11"/>
      <c r="I19" s="24" t="s">
        <v>20</v>
      </c>
      <c r="J19" s="25">
        <v>24.1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6.5" x14ac:dyDescent="0.25">
      <c r="A20" s="1"/>
      <c r="B20" s="8">
        <f t="shared" si="0"/>
        <v>17</v>
      </c>
      <c r="C20" s="9"/>
      <c r="D20">
        <v>311</v>
      </c>
      <c r="E20">
        <v>21</v>
      </c>
      <c r="F20">
        <v>66</v>
      </c>
      <c r="G20">
        <v>87</v>
      </c>
      <c r="H20" s="11"/>
      <c r="I20" s="29" t="s">
        <v>28</v>
      </c>
      <c r="J20" s="30">
        <f>J18-J19</f>
        <v>23.9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/>
      <c r="D21">
        <v>310</v>
      </c>
      <c r="E21">
        <v>23</v>
      </c>
      <c r="F21">
        <v>65</v>
      </c>
      <c r="G21">
        <v>88</v>
      </c>
      <c r="H21" s="11"/>
      <c r="I21" s="31"/>
      <c r="J21" s="32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/>
      <c r="D22">
        <v>319</v>
      </c>
      <c r="E22">
        <v>21</v>
      </c>
      <c r="F22">
        <v>69</v>
      </c>
      <c r="G22">
        <v>90</v>
      </c>
      <c r="H22" s="11"/>
      <c r="I22" s="15" t="s">
        <v>21</v>
      </c>
      <c r="J22" s="16">
        <f>COUNT(G4:G106)</f>
        <v>103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/>
      <c r="D23">
        <v>308</v>
      </c>
      <c r="E23">
        <v>23</v>
      </c>
      <c r="F23">
        <v>65</v>
      </c>
      <c r="G23">
        <v>88</v>
      </c>
      <c r="H23" s="11"/>
      <c r="I23" s="17" t="s">
        <v>22</v>
      </c>
      <c r="J23" s="21">
        <f>J15/J22</f>
        <v>0.11650485436893204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/>
      <c r="D24">
        <v>299</v>
      </c>
      <c r="E24">
        <v>22</v>
      </c>
      <c r="F24">
        <v>68</v>
      </c>
      <c r="G24">
        <v>90</v>
      </c>
      <c r="H24" s="11"/>
      <c r="I24" s="14"/>
      <c r="J24" s="33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/>
      <c r="D25">
        <v>322</v>
      </c>
      <c r="E25">
        <v>22</v>
      </c>
      <c r="F25">
        <v>69</v>
      </c>
      <c r="G25">
        <v>91</v>
      </c>
      <c r="H25" s="11"/>
      <c r="I25" s="15" t="s">
        <v>23</v>
      </c>
      <c r="J25" s="16">
        <f>AVERAGE(E4:E1048576)</f>
        <v>26.701030927835053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/>
      <c r="D26">
        <v>296</v>
      </c>
      <c r="E26">
        <v>21</v>
      </c>
      <c r="F26">
        <v>69</v>
      </c>
      <c r="G26">
        <v>90</v>
      </c>
      <c r="H26" s="11"/>
      <c r="I26" s="24" t="s">
        <v>24</v>
      </c>
      <c r="J26" s="25">
        <f>AVERAGE(F4:F1048576)</f>
        <v>67.711340206185568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/>
      <c r="D27">
        <v>307</v>
      </c>
      <c r="E27">
        <v>23</v>
      </c>
      <c r="F27">
        <v>67</v>
      </c>
      <c r="G27">
        <v>90</v>
      </c>
      <c r="H27" s="11"/>
      <c r="I27" s="17" t="s">
        <v>25</v>
      </c>
      <c r="J27" s="21">
        <f>AVERAGE(D5:D1048576)</f>
        <v>304.78095238095239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/>
      <c r="D28">
        <v>332</v>
      </c>
      <c r="E28">
        <v>23</v>
      </c>
      <c r="F28">
        <v>69</v>
      </c>
      <c r="G28">
        <v>92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/>
      <c r="D29">
        <v>295</v>
      </c>
      <c r="E29">
        <v>22</v>
      </c>
      <c r="F29">
        <v>67</v>
      </c>
      <c r="G29">
        <v>89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/>
      <c r="D30">
        <v>331</v>
      </c>
      <c r="E30">
        <v>23</v>
      </c>
      <c r="F30">
        <v>69</v>
      </c>
      <c r="G30">
        <v>92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/>
      <c r="D31">
        <v>307</v>
      </c>
      <c r="E31">
        <v>22</v>
      </c>
      <c r="F31">
        <v>67</v>
      </c>
      <c r="G31">
        <v>89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/>
      <c r="D32">
        <v>316</v>
      </c>
      <c r="E32">
        <v>22</v>
      </c>
      <c r="F32">
        <v>68</v>
      </c>
      <c r="G32">
        <v>90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/>
      <c r="D33">
        <v>307</v>
      </c>
      <c r="E33">
        <v>23</v>
      </c>
      <c r="F33">
        <v>65</v>
      </c>
      <c r="G33">
        <v>88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/>
      <c r="D34">
        <v>314</v>
      </c>
      <c r="E34">
        <v>22</v>
      </c>
      <c r="F34">
        <v>70</v>
      </c>
      <c r="G34">
        <v>92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/>
      <c r="D35">
        <v>308</v>
      </c>
      <c r="E35">
        <v>22</v>
      </c>
      <c r="F35">
        <v>67</v>
      </c>
      <c r="G35">
        <v>89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/>
      <c r="D36">
        <v>304</v>
      </c>
      <c r="E36">
        <v>23</v>
      </c>
      <c r="F36">
        <v>66</v>
      </c>
      <c r="G36">
        <v>89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/>
      <c r="D37">
        <v>315</v>
      </c>
      <c r="E37">
        <v>23</v>
      </c>
      <c r="F37">
        <v>69</v>
      </c>
      <c r="G37">
        <v>92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/>
      <c r="D38">
        <v>308</v>
      </c>
      <c r="E38">
        <v>23</v>
      </c>
      <c r="F38">
        <v>69</v>
      </c>
      <c r="G38">
        <v>92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/>
      <c r="D39">
        <v>309</v>
      </c>
      <c r="E39">
        <v>23</v>
      </c>
      <c r="F39">
        <v>71</v>
      </c>
      <c r="G39">
        <v>94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/>
      <c r="D40">
        <v>303</v>
      </c>
      <c r="E40">
        <v>23</v>
      </c>
      <c r="F40">
        <v>69</v>
      </c>
      <c r="G40">
        <v>92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/>
      <c r="D41">
        <v>308</v>
      </c>
      <c r="E41">
        <v>23</v>
      </c>
      <c r="F41">
        <v>66</v>
      </c>
      <c r="G41">
        <v>89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/>
      <c r="D42">
        <v>315</v>
      </c>
      <c r="E42">
        <v>23</v>
      </c>
      <c r="F42">
        <v>69</v>
      </c>
      <c r="G42">
        <v>92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/>
      <c r="D43">
        <v>308</v>
      </c>
      <c r="E43">
        <v>23</v>
      </c>
      <c r="F43">
        <v>67</v>
      </c>
      <c r="G43">
        <v>90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/>
      <c r="D44">
        <v>308</v>
      </c>
      <c r="E44">
        <v>24</v>
      </c>
      <c r="F44">
        <v>68</v>
      </c>
      <c r="G44">
        <v>92</v>
      </c>
      <c r="H44" s="11"/>
      <c r="I44" s="11"/>
      <c r="J44" s="11"/>
      <c r="K44" s="11"/>
      <c r="L44" s="11"/>
      <c r="M44" s="1"/>
      <c r="N44" s="1"/>
      <c r="O44" s="1" t="s">
        <v>26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/>
      <c r="D45">
        <v>308</v>
      </c>
      <c r="E45">
        <v>23</v>
      </c>
      <c r="F45">
        <v>67</v>
      </c>
      <c r="G45">
        <v>90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/>
      <c r="D46">
        <v>308</v>
      </c>
      <c r="E46">
        <v>24</v>
      </c>
      <c r="F46">
        <v>67</v>
      </c>
      <c r="G46">
        <v>91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/>
      <c r="D47">
        <v>306</v>
      </c>
      <c r="E47">
        <v>24</v>
      </c>
      <c r="F47">
        <v>67</v>
      </c>
      <c r="G47">
        <v>91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/>
      <c r="D48">
        <v>312</v>
      </c>
      <c r="E48">
        <v>24</v>
      </c>
      <c r="F48">
        <v>67</v>
      </c>
      <c r="G48">
        <v>91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/>
      <c r="D49">
        <v>306</v>
      </c>
      <c r="E49">
        <v>25</v>
      </c>
      <c r="F49">
        <v>68</v>
      </c>
      <c r="G49">
        <v>93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/>
      <c r="D50">
        <v>306</v>
      </c>
      <c r="E50">
        <v>25</v>
      </c>
      <c r="F50">
        <v>70</v>
      </c>
      <c r="G50">
        <v>95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/>
      <c r="D51">
        <v>305</v>
      </c>
      <c r="E51">
        <v>24</v>
      </c>
      <c r="F51">
        <v>69</v>
      </c>
      <c r="G51">
        <v>93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/>
      <c r="D52">
        <v>310</v>
      </c>
      <c r="E52">
        <v>25</v>
      </c>
      <c r="F52">
        <v>65</v>
      </c>
      <c r="G52">
        <v>90</v>
      </c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/>
      <c r="D53">
        <v>309</v>
      </c>
      <c r="E53">
        <v>23</v>
      </c>
      <c r="F53">
        <v>68</v>
      </c>
      <c r="G53">
        <v>91</v>
      </c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/>
      <c r="D54">
        <v>310</v>
      </c>
      <c r="E54">
        <v>25</v>
      </c>
      <c r="F54">
        <v>66</v>
      </c>
      <c r="G54">
        <v>91</v>
      </c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/>
      <c r="D55">
        <v>305</v>
      </c>
      <c r="E55">
        <v>25</v>
      </c>
      <c r="F55">
        <v>67</v>
      </c>
      <c r="G55">
        <v>92</v>
      </c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/>
      <c r="D56">
        <v>310</v>
      </c>
      <c r="E56">
        <v>25</v>
      </c>
      <c r="F56">
        <v>69</v>
      </c>
      <c r="G56">
        <v>94</v>
      </c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/>
      <c r="D57">
        <v>307</v>
      </c>
      <c r="E57">
        <v>26</v>
      </c>
      <c r="F57">
        <v>68</v>
      </c>
      <c r="G57">
        <v>94</v>
      </c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/>
      <c r="D58">
        <v>305</v>
      </c>
      <c r="E58">
        <v>26</v>
      </c>
      <c r="F58">
        <v>70</v>
      </c>
      <c r="G58">
        <v>96</v>
      </c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/>
      <c r="D59">
        <v>302</v>
      </c>
      <c r="F59" t="s">
        <v>26</v>
      </c>
      <c r="G59">
        <v>94</v>
      </c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/>
      <c r="D60">
        <v>312</v>
      </c>
      <c r="E60">
        <v>26</v>
      </c>
      <c r="F60">
        <v>67</v>
      </c>
      <c r="G60">
        <v>93</v>
      </c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/>
      <c r="D61">
        <v>306</v>
      </c>
      <c r="E61">
        <v>25</v>
      </c>
      <c r="F61">
        <v>71</v>
      </c>
      <c r="G61">
        <v>96</v>
      </c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/>
      <c r="D62">
        <v>305</v>
      </c>
      <c r="F62" t="s">
        <v>26</v>
      </c>
      <c r="G62">
        <v>92</v>
      </c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/>
      <c r="D63">
        <v>308</v>
      </c>
      <c r="E63">
        <v>27</v>
      </c>
      <c r="F63">
        <v>68</v>
      </c>
      <c r="G63">
        <v>95</v>
      </c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/>
      <c r="D64">
        <v>301</v>
      </c>
      <c r="E64">
        <v>26</v>
      </c>
      <c r="F64">
        <v>67</v>
      </c>
      <c r="G64">
        <v>93</v>
      </c>
      <c r="H64" s="11"/>
      <c r="I64" s="34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/>
      <c r="D65">
        <v>300</v>
      </c>
      <c r="F65" t="s">
        <v>26</v>
      </c>
      <c r="G65">
        <v>92</v>
      </c>
      <c r="H65" s="11"/>
      <c r="I65" s="34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/>
      <c r="D66">
        <v>312</v>
      </c>
      <c r="E66">
        <v>26</v>
      </c>
      <c r="F66">
        <v>68</v>
      </c>
      <c r="G66">
        <v>94</v>
      </c>
      <c r="H66" s="11"/>
      <c r="I66" s="34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35"/>
      <c r="D67">
        <v>307</v>
      </c>
      <c r="E67">
        <v>26</v>
      </c>
      <c r="F67">
        <v>67</v>
      </c>
      <c r="G67">
        <v>93</v>
      </c>
      <c r="H67" s="11"/>
      <c r="I67" s="34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/>
      <c r="D68">
        <v>307</v>
      </c>
      <c r="E68">
        <v>26</v>
      </c>
      <c r="F68">
        <v>67</v>
      </c>
      <c r="G68">
        <v>93</v>
      </c>
      <c r="H68" s="11"/>
      <c r="I68" s="34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35"/>
      <c r="D69">
        <v>305</v>
      </c>
      <c r="E69">
        <v>28</v>
      </c>
      <c r="F69">
        <v>66</v>
      </c>
      <c r="G69">
        <v>94</v>
      </c>
      <c r="H69" s="11"/>
      <c r="I69" s="34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/>
      <c r="D70">
        <v>311</v>
      </c>
      <c r="E70">
        <v>28</v>
      </c>
      <c r="F70">
        <v>66</v>
      </c>
      <c r="G70">
        <v>94</v>
      </c>
      <c r="H70" s="11"/>
      <c r="I70" s="34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35"/>
      <c r="D71">
        <v>286</v>
      </c>
      <c r="F71" t="s">
        <v>26</v>
      </c>
      <c r="G71">
        <v>94</v>
      </c>
      <c r="H71" s="11"/>
      <c r="I71" s="34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35"/>
      <c r="D72">
        <v>324</v>
      </c>
      <c r="E72">
        <v>27</v>
      </c>
      <c r="F72">
        <v>69</v>
      </c>
      <c r="G72">
        <v>96</v>
      </c>
      <c r="H72" s="11"/>
      <c r="I72" s="34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/>
      <c r="D73">
        <v>282</v>
      </c>
      <c r="E73">
        <v>28</v>
      </c>
      <c r="F73">
        <v>68</v>
      </c>
      <c r="G73">
        <v>96</v>
      </c>
      <c r="H73" s="11"/>
      <c r="I73" s="34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/>
      <c r="D74">
        <v>303</v>
      </c>
      <c r="E74">
        <v>27</v>
      </c>
      <c r="F74">
        <v>68</v>
      </c>
      <c r="G74">
        <v>95</v>
      </c>
      <c r="H74" s="11"/>
      <c r="I74" s="34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/>
      <c r="D75">
        <v>325</v>
      </c>
      <c r="E75">
        <v>27</v>
      </c>
      <c r="F75">
        <v>68</v>
      </c>
      <c r="G75">
        <v>95</v>
      </c>
      <c r="H75" s="11"/>
      <c r="I75" s="34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/>
      <c r="D76">
        <v>306</v>
      </c>
      <c r="E76">
        <v>29</v>
      </c>
      <c r="F76">
        <v>67</v>
      </c>
      <c r="G76">
        <v>96</v>
      </c>
      <c r="H76" s="11"/>
      <c r="I76" s="34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/>
      <c r="D77">
        <v>283</v>
      </c>
      <c r="E77">
        <v>28</v>
      </c>
      <c r="F77">
        <v>66</v>
      </c>
      <c r="G77">
        <v>94</v>
      </c>
      <c r="H77" s="11"/>
      <c r="I77" s="34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/>
      <c r="D78">
        <v>328</v>
      </c>
      <c r="E78">
        <v>29</v>
      </c>
      <c r="F78">
        <v>70</v>
      </c>
      <c r="G78">
        <v>99</v>
      </c>
      <c r="H78" s="11"/>
      <c r="I78" s="34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/>
      <c r="D79">
        <v>291</v>
      </c>
      <c r="E79">
        <v>29</v>
      </c>
      <c r="F79">
        <v>66</v>
      </c>
      <c r="G79">
        <v>95</v>
      </c>
      <c r="H79" s="11"/>
      <c r="I79" s="34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/>
      <c r="D80">
        <v>314</v>
      </c>
      <c r="E80">
        <v>29</v>
      </c>
      <c r="F80">
        <v>68</v>
      </c>
      <c r="G80">
        <v>97</v>
      </c>
      <c r="H80" s="11"/>
      <c r="I80" s="34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/>
      <c r="D81">
        <v>280</v>
      </c>
      <c r="E81">
        <v>30</v>
      </c>
      <c r="F81">
        <v>66</v>
      </c>
      <c r="G81">
        <v>96</v>
      </c>
      <c r="H81" s="11"/>
      <c r="I81" s="34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/>
      <c r="D82">
        <v>323</v>
      </c>
      <c r="E82">
        <v>29</v>
      </c>
      <c r="F82">
        <v>67</v>
      </c>
      <c r="G82">
        <v>96</v>
      </c>
      <c r="H82" s="11"/>
      <c r="I82" s="34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/>
      <c r="D83">
        <v>286</v>
      </c>
      <c r="E83">
        <v>31</v>
      </c>
      <c r="F83">
        <v>65</v>
      </c>
      <c r="G83">
        <v>96</v>
      </c>
      <c r="H83" s="11"/>
      <c r="I83" s="34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/>
      <c r="D84">
        <v>306</v>
      </c>
      <c r="E84">
        <v>29</v>
      </c>
      <c r="F84">
        <v>67</v>
      </c>
      <c r="G84">
        <v>96</v>
      </c>
      <c r="H84" s="11"/>
      <c r="I84" s="34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/>
      <c r="D85">
        <v>299</v>
      </c>
      <c r="E85">
        <v>30</v>
      </c>
      <c r="F85">
        <v>66</v>
      </c>
      <c r="G85">
        <v>96</v>
      </c>
      <c r="H85" s="11"/>
      <c r="I85" s="34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35"/>
      <c r="D86">
        <v>307</v>
      </c>
      <c r="E86">
        <v>32</v>
      </c>
      <c r="F86">
        <v>67</v>
      </c>
      <c r="G86">
        <v>99</v>
      </c>
      <c r="H86" s="11"/>
      <c r="I86" s="34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D87">
        <v>322</v>
      </c>
      <c r="E87">
        <v>31</v>
      </c>
      <c r="F87">
        <v>66</v>
      </c>
      <c r="G87">
        <v>97</v>
      </c>
      <c r="H87" s="11"/>
      <c r="I87" s="34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D88">
        <v>280</v>
      </c>
      <c r="E88">
        <v>32</v>
      </c>
      <c r="F88">
        <v>63</v>
      </c>
      <c r="G88">
        <v>95</v>
      </c>
      <c r="H88" s="11"/>
      <c r="I88" s="40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D89">
        <v>305</v>
      </c>
      <c r="E89">
        <v>32</v>
      </c>
      <c r="F89">
        <v>69</v>
      </c>
      <c r="G89">
        <v>101</v>
      </c>
      <c r="H89" s="11"/>
      <c r="I89" s="40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D90">
        <v>318</v>
      </c>
      <c r="E90">
        <v>33</v>
      </c>
      <c r="F90">
        <v>67</v>
      </c>
      <c r="G90">
        <v>100</v>
      </c>
      <c r="H90" s="11"/>
      <c r="I90" s="40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D91">
        <v>279</v>
      </c>
      <c r="E91">
        <v>32</v>
      </c>
      <c r="F91">
        <v>65</v>
      </c>
      <c r="G91">
        <v>97</v>
      </c>
      <c r="H91" s="11"/>
      <c r="I91" s="40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D92">
        <v>301</v>
      </c>
      <c r="E92">
        <v>35</v>
      </c>
      <c r="F92">
        <v>67</v>
      </c>
      <c r="G92">
        <v>102</v>
      </c>
      <c r="H92" s="11"/>
      <c r="I92" s="34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D93">
        <v>313</v>
      </c>
      <c r="E93">
        <v>34</v>
      </c>
      <c r="F93">
        <v>68</v>
      </c>
      <c r="G93">
        <v>102</v>
      </c>
      <c r="H93" s="11"/>
      <c r="I93" s="40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D94">
        <v>283</v>
      </c>
      <c r="E94">
        <v>35</v>
      </c>
      <c r="F94">
        <v>64</v>
      </c>
      <c r="G94">
        <v>99</v>
      </c>
      <c r="H94" s="11"/>
      <c r="I94" s="40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>
        <v>320</v>
      </c>
      <c r="E95">
        <v>35</v>
      </c>
      <c r="F95">
        <v>67</v>
      </c>
      <c r="G95">
        <v>102</v>
      </c>
      <c r="H95" s="11"/>
      <c r="I95" s="34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>
        <v>276</v>
      </c>
      <c r="E96">
        <v>36</v>
      </c>
      <c r="F96">
        <v>64</v>
      </c>
      <c r="G96">
        <v>100</v>
      </c>
      <c r="H96" s="11"/>
      <c r="I96" s="34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>
        <v>300</v>
      </c>
      <c r="E97">
        <v>36</v>
      </c>
      <c r="F97">
        <v>69</v>
      </c>
      <c r="G97">
        <v>105</v>
      </c>
      <c r="H97" s="11"/>
      <c r="I97" s="34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>
        <v>295</v>
      </c>
      <c r="E98">
        <v>36</v>
      </c>
      <c r="F98">
        <v>68</v>
      </c>
      <c r="G98">
        <v>104</v>
      </c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>
        <v>314</v>
      </c>
      <c r="E99">
        <v>37</v>
      </c>
      <c r="F99">
        <v>70</v>
      </c>
      <c r="G99">
        <v>107</v>
      </c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>
        <v>273</v>
      </c>
      <c r="E100">
        <v>39</v>
      </c>
      <c r="F100">
        <v>68</v>
      </c>
      <c r="G100">
        <v>107</v>
      </c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>
        <v>291</v>
      </c>
      <c r="E101">
        <v>37</v>
      </c>
      <c r="F101">
        <v>69</v>
      </c>
      <c r="G101">
        <v>106</v>
      </c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>
        <v>313</v>
      </c>
      <c r="E102">
        <v>40</v>
      </c>
      <c r="F102">
        <v>73</v>
      </c>
      <c r="G102">
        <v>113</v>
      </c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>
        <v>268</v>
      </c>
      <c r="E103">
        <v>42</v>
      </c>
      <c r="F103">
        <v>71</v>
      </c>
      <c r="G103">
        <v>113</v>
      </c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>
        <v>285</v>
      </c>
      <c r="E104">
        <v>39</v>
      </c>
      <c r="F104">
        <v>69</v>
      </c>
      <c r="G104">
        <v>108</v>
      </c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>
        <v>290</v>
      </c>
      <c r="F105" t="s">
        <v>26</v>
      </c>
      <c r="G105">
        <v>126</v>
      </c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>
        <v>277</v>
      </c>
      <c r="E106">
        <v>45</v>
      </c>
      <c r="F106">
        <v>72</v>
      </c>
      <c r="G106">
        <v>117</v>
      </c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>
        <v>277</v>
      </c>
      <c r="F107" t="s">
        <v>26</v>
      </c>
      <c r="G107">
        <v>124</v>
      </c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>
        <v>279</v>
      </c>
      <c r="F108" t="s">
        <v>26</v>
      </c>
      <c r="G108">
        <v>124</v>
      </c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>
        <v>278</v>
      </c>
      <c r="F109" t="s">
        <v>26</v>
      </c>
      <c r="G109">
        <v>123</v>
      </c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BL_HST[CH3]" sqref="F4:F86" xr:uid="{A9A79CAB-5A31-4B22-9AAB-3272923F802A}"/>
    <dataValidation allowBlank="1" showInputMessage="1" showErrorMessage="1" prompt="TBL_HST[CH2]" sqref="E4:E86" xr:uid="{5C2B4532-0440-4F1E-8F68-56E20890D167}"/>
    <dataValidation allowBlank="1" showInputMessage="1" showErrorMessage="1" prompt="TBL_HST[CH4]" sqref="G4:G86" xr:uid="{799FE3A4-DE81-4737-9A8B-F964B651FF71}"/>
    <dataValidation allowBlank="1" showInputMessage="1" showErrorMessage="1" prompt="TBL_HST[CH1]" sqref="D4:D86" xr:uid="{37985A7E-08CE-44A5-8257-2509920CC4B3}"/>
    <dataValidation allowBlank="1" showInputMessage="1" showErrorMessage="1" prompt="Time_x000d__x000a__x000d__x000a_TBL_HST[TIME]" sqref="C4:C86" xr:uid="{51C92670-65F3-4EEF-8F58-487F4DE8B45C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E4085-F06D-4EE4-99DD-28231D69FFC7}">
  <dimension ref="C1:S107"/>
  <sheetViews>
    <sheetView topLeftCell="A64" workbookViewId="0">
      <selection activeCell="H105" sqref="H105"/>
    </sheetView>
  </sheetViews>
  <sheetFormatPr defaultRowHeight="15" x14ac:dyDescent="0.25"/>
  <cols>
    <col min="4" max="4" width="15.5703125" customWidth="1"/>
    <col min="5" max="5" width="20" customWidth="1"/>
    <col min="6" max="6" width="23.28515625" customWidth="1"/>
    <col min="7" max="7" width="22.85546875" customWidth="1"/>
    <col min="8" max="8" width="19.42578125" customWidth="1"/>
    <col min="10" max="10" width="13" customWidth="1"/>
    <col min="11" max="11" width="14.28515625" customWidth="1"/>
    <col min="12" max="12" width="13.5703125" customWidth="1"/>
  </cols>
  <sheetData>
    <row r="1" spans="3:11" ht="15.75" thickBot="1" x14ac:dyDescent="0.3"/>
    <row r="2" spans="3:11" ht="15.75" thickBot="1" x14ac:dyDescent="0.3">
      <c r="D2" s="50" t="s">
        <v>42</v>
      </c>
    </row>
    <row r="3" spans="3:11" x14ac:dyDescent="0.25">
      <c r="C3" s="47"/>
      <c r="D3" s="49" t="s">
        <v>43</v>
      </c>
      <c r="E3" s="48" t="s">
        <v>44</v>
      </c>
      <c r="F3" s="48" t="s">
        <v>45</v>
      </c>
    </row>
    <row r="4" spans="3:11" ht="15.75" x14ac:dyDescent="0.25">
      <c r="C4" s="47" t="s">
        <v>41</v>
      </c>
      <c r="D4" s="46" t="s">
        <v>5</v>
      </c>
      <c r="E4" s="46" t="s">
        <v>5</v>
      </c>
      <c r="F4" s="46" t="s">
        <v>5</v>
      </c>
      <c r="G4" s="46" t="s">
        <v>29</v>
      </c>
      <c r="H4" s="51" t="s">
        <v>46</v>
      </c>
      <c r="I4" s="51" t="s">
        <v>47</v>
      </c>
      <c r="K4" s="42" t="s">
        <v>30</v>
      </c>
    </row>
    <row r="5" spans="3:11" ht="15.75" x14ac:dyDescent="0.25">
      <c r="C5">
        <f>1</f>
        <v>1</v>
      </c>
      <c r="D5">
        <v>20</v>
      </c>
      <c r="E5">
        <v>20</v>
      </c>
      <c r="F5">
        <v>22</v>
      </c>
      <c r="G5">
        <f t="shared" ref="G5:G36" si="0">AVERAGE(D5:F5)</f>
        <v>20.666666666666668</v>
      </c>
      <c r="H5">
        <f>_xlfn.STDEV.P(D5:F5)</f>
        <v>0.94280904158206336</v>
      </c>
      <c r="I5">
        <f>AVERAGE(H5:H100)</f>
        <v>0.87756486623446062</v>
      </c>
      <c r="J5">
        <v>1</v>
      </c>
      <c r="K5" s="43">
        <v>28.6</v>
      </c>
    </row>
    <row r="6" spans="3:11" x14ac:dyDescent="0.25">
      <c r="C6">
        <f>C5+1</f>
        <v>2</v>
      </c>
      <c r="D6">
        <v>22</v>
      </c>
      <c r="E6">
        <v>21</v>
      </c>
      <c r="F6">
        <v>20</v>
      </c>
      <c r="G6">
        <f t="shared" si="0"/>
        <v>21</v>
      </c>
      <c r="H6">
        <f t="shared" ref="H6:H69" si="1">_xlfn.STDEV.P(D6:F6)</f>
        <v>0.81649658092772603</v>
      </c>
      <c r="J6">
        <v>2</v>
      </c>
      <c r="K6" s="44">
        <v>26.4</v>
      </c>
    </row>
    <row r="7" spans="3:11" x14ac:dyDescent="0.25">
      <c r="C7">
        <f t="shared" ref="C7:C70" si="2">C6+1</f>
        <v>3</v>
      </c>
      <c r="D7">
        <v>21</v>
      </c>
      <c r="E7">
        <v>21</v>
      </c>
      <c r="F7">
        <v>22</v>
      </c>
      <c r="G7">
        <f t="shared" si="0"/>
        <v>21.333333333333332</v>
      </c>
      <c r="H7">
        <f t="shared" si="1"/>
        <v>0.47140452079103168</v>
      </c>
      <c r="J7">
        <v>3</v>
      </c>
      <c r="K7" s="44">
        <v>23.9</v>
      </c>
    </row>
    <row r="8" spans="3:11" ht="15.75" x14ac:dyDescent="0.25">
      <c r="C8">
        <f t="shared" si="2"/>
        <v>4</v>
      </c>
      <c r="D8">
        <v>20</v>
      </c>
      <c r="E8">
        <v>21</v>
      </c>
      <c r="F8">
        <v>21</v>
      </c>
      <c r="G8">
        <f t="shared" si="0"/>
        <v>20.666666666666668</v>
      </c>
      <c r="H8">
        <f t="shared" si="1"/>
        <v>0.47140452079103168</v>
      </c>
      <c r="J8" s="42" t="s">
        <v>31</v>
      </c>
      <c r="K8">
        <f>AVERAGE(K5:K7)</f>
        <v>26.3</v>
      </c>
    </row>
    <row r="9" spans="3:11" x14ac:dyDescent="0.25">
      <c r="C9">
        <f t="shared" si="2"/>
        <v>5</v>
      </c>
      <c r="D9">
        <v>22</v>
      </c>
      <c r="E9">
        <v>20</v>
      </c>
      <c r="F9">
        <v>21</v>
      </c>
      <c r="G9">
        <f t="shared" si="0"/>
        <v>21</v>
      </c>
      <c r="H9">
        <f t="shared" si="1"/>
        <v>0.81649658092772603</v>
      </c>
    </row>
    <row r="10" spans="3:11" x14ac:dyDescent="0.25">
      <c r="C10">
        <f t="shared" si="2"/>
        <v>6</v>
      </c>
      <c r="D10">
        <v>20</v>
      </c>
      <c r="E10">
        <v>22</v>
      </c>
      <c r="F10">
        <v>22</v>
      </c>
      <c r="G10">
        <f t="shared" si="0"/>
        <v>21.333333333333332</v>
      </c>
      <c r="H10">
        <f t="shared" si="1"/>
        <v>0.94280904158206336</v>
      </c>
    </row>
    <row r="11" spans="3:11" ht="15.75" x14ac:dyDescent="0.25">
      <c r="C11">
        <f t="shared" si="2"/>
        <v>7</v>
      </c>
      <c r="D11">
        <v>22</v>
      </c>
      <c r="E11">
        <v>22</v>
      </c>
      <c r="F11">
        <v>23</v>
      </c>
      <c r="G11">
        <f t="shared" si="0"/>
        <v>22.333333333333332</v>
      </c>
      <c r="H11">
        <f t="shared" si="1"/>
        <v>0.47140452079103168</v>
      </c>
      <c r="K11" s="42" t="s">
        <v>32</v>
      </c>
    </row>
    <row r="12" spans="3:11" ht="15.75" x14ac:dyDescent="0.25">
      <c r="C12">
        <f t="shared" si="2"/>
        <v>8</v>
      </c>
      <c r="D12">
        <v>21</v>
      </c>
      <c r="E12">
        <v>21</v>
      </c>
      <c r="F12">
        <v>22</v>
      </c>
      <c r="G12">
        <f t="shared" si="0"/>
        <v>21.333333333333332</v>
      </c>
      <c r="H12">
        <f t="shared" si="1"/>
        <v>0.47140452079103168</v>
      </c>
      <c r="J12">
        <v>1</v>
      </c>
      <c r="K12" s="43">
        <v>97</v>
      </c>
    </row>
    <row r="13" spans="3:11" x14ac:dyDescent="0.25">
      <c r="C13">
        <f t="shared" si="2"/>
        <v>9</v>
      </c>
      <c r="D13">
        <v>22</v>
      </c>
      <c r="E13">
        <v>21</v>
      </c>
      <c r="F13">
        <v>21</v>
      </c>
      <c r="G13">
        <f t="shared" si="0"/>
        <v>21.333333333333332</v>
      </c>
      <c r="H13">
        <f t="shared" si="1"/>
        <v>0.47140452079103168</v>
      </c>
      <c r="J13">
        <v>2</v>
      </c>
      <c r="K13" s="44">
        <v>96</v>
      </c>
    </row>
    <row r="14" spans="3:11" x14ac:dyDescent="0.25">
      <c r="C14">
        <f t="shared" si="2"/>
        <v>10</v>
      </c>
      <c r="D14">
        <v>20</v>
      </c>
      <c r="E14">
        <v>20</v>
      </c>
      <c r="F14">
        <v>22</v>
      </c>
      <c r="G14">
        <f t="shared" si="0"/>
        <v>20.666666666666668</v>
      </c>
      <c r="H14">
        <f t="shared" si="1"/>
        <v>0.94280904158206336</v>
      </c>
      <c r="J14">
        <v>3</v>
      </c>
      <c r="K14" s="44">
        <v>103</v>
      </c>
    </row>
    <row r="15" spans="3:11" ht="15.75" x14ac:dyDescent="0.25">
      <c r="C15">
        <f t="shared" si="2"/>
        <v>11</v>
      </c>
      <c r="D15">
        <v>21</v>
      </c>
      <c r="E15">
        <v>22</v>
      </c>
      <c r="F15">
        <v>23</v>
      </c>
      <c r="G15">
        <f t="shared" si="0"/>
        <v>22</v>
      </c>
      <c r="H15">
        <f t="shared" si="1"/>
        <v>0.81649658092772603</v>
      </c>
      <c r="J15" s="42" t="s">
        <v>33</v>
      </c>
      <c r="K15">
        <f>AVERAGE(K12:K14)</f>
        <v>98.666666666666671</v>
      </c>
    </row>
    <row r="16" spans="3:11" x14ac:dyDescent="0.25">
      <c r="C16">
        <f t="shared" si="2"/>
        <v>12</v>
      </c>
      <c r="D16">
        <v>22</v>
      </c>
      <c r="E16">
        <v>21</v>
      </c>
      <c r="F16">
        <v>22</v>
      </c>
      <c r="G16">
        <f t="shared" si="0"/>
        <v>21.666666666666668</v>
      </c>
      <c r="H16">
        <f t="shared" si="1"/>
        <v>0.47140452079103168</v>
      </c>
    </row>
    <row r="17" spans="3:11" x14ac:dyDescent="0.25">
      <c r="C17">
        <f t="shared" si="2"/>
        <v>13</v>
      </c>
      <c r="D17">
        <v>20</v>
      </c>
      <c r="E17">
        <v>22</v>
      </c>
      <c r="F17">
        <v>22</v>
      </c>
      <c r="G17">
        <f t="shared" si="0"/>
        <v>21.333333333333332</v>
      </c>
      <c r="H17">
        <f t="shared" si="1"/>
        <v>0.94280904158206336</v>
      </c>
    </row>
    <row r="18" spans="3:11" ht="15.75" x14ac:dyDescent="0.25">
      <c r="C18">
        <f t="shared" si="2"/>
        <v>14</v>
      </c>
      <c r="D18">
        <v>22</v>
      </c>
      <c r="E18">
        <v>23</v>
      </c>
      <c r="G18">
        <f t="shared" si="0"/>
        <v>22.5</v>
      </c>
      <c r="H18">
        <f t="shared" si="1"/>
        <v>0.5</v>
      </c>
      <c r="K18" s="42" t="s">
        <v>34</v>
      </c>
    </row>
    <row r="19" spans="3:11" ht="15.75" x14ac:dyDescent="0.25">
      <c r="C19">
        <f t="shared" si="2"/>
        <v>15</v>
      </c>
      <c r="D19">
        <v>22</v>
      </c>
      <c r="E19">
        <v>22</v>
      </c>
      <c r="F19">
        <v>21</v>
      </c>
      <c r="G19">
        <f t="shared" si="0"/>
        <v>21.666666666666668</v>
      </c>
      <c r="H19">
        <f t="shared" si="1"/>
        <v>0.47140452079103168</v>
      </c>
      <c r="J19">
        <v>1</v>
      </c>
      <c r="K19" s="43">
        <v>12</v>
      </c>
    </row>
    <row r="20" spans="3:11" x14ac:dyDescent="0.25">
      <c r="C20">
        <f t="shared" si="2"/>
        <v>16</v>
      </c>
      <c r="D20">
        <v>20</v>
      </c>
      <c r="F20">
        <v>21</v>
      </c>
      <c r="G20">
        <f t="shared" si="0"/>
        <v>20.5</v>
      </c>
      <c r="H20">
        <f t="shared" si="1"/>
        <v>0.5</v>
      </c>
      <c r="J20">
        <v>2</v>
      </c>
      <c r="K20" s="44">
        <v>11</v>
      </c>
    </row>
    <row r="21" spans="3:11" x14ac:dyDescent="0.25">
      <c r="C21">
        <f t="shared" si="2"/>
        <v>17</v>
      </c>
      <c r="D21">
        <v>22</v>
      </c>
      <c r="E21">
        <v>21</v>
      </c>
      <c r="F21">
        <v>21</v>
      </c>
      <c r="G21">
        <f t="shared" si="0"/>
        <v>21.333333333333332</v>
      </c>
      <c r="H21">
        <f t="shared" si="1"/>
        <v>0.47140452079103168</v>
      </c>
      <c r="J21">
        <v>3</v>
      </c>
      <c r="K21" s="44">
        <v>12</v>
      </c>
    </row>
    <row r="22" spans="3:11" ht="15.75" x14ac:dyDescent="0.25">
      <c r="C22">
        <f t="shared" si="2"/>
        <v>18</v>
      </c>
      <c r="D22">
        <v>21</v>
      </c>
      <c r="E22">
        <v>22</v>
      </c>
      <c r="F22">
        <v>23</v>
      </c>
      <c r="G22">
        <f t="shared" si="0"/>
        <v>22</v>
      </c>
      <c r="H22">
        <f t="shared" si="1"/>
        <v>0.81649658092772603</v>
      </c>
      <c r="J22" s="42" t="s">
        <v>35</v>
      </c>
      <c r="K22">
        <f>AVERAGE(K19:K21)</f>
        <v>11.666666666666666</v>
      </c>
    </row>
    <row r="23" spans="3:11" x14ac:dyDescent="0.25">
      <c r="C23">
        <f t="shared" si="2"/>
        <v>19</v>
      </c>
      <c r="D23">
        <v>22</v>
      </c>
      <c r="E23">
        <v>22</v>
      </c>
      <c r="F23">
        <v>21</v>
      </c>
      <c r="G23">
        <f t="shared" si="0"/>
        <v>21.666666666666668</v>
      </c>
      <c r="H23">
        <f t="shared" si="1"/>
        <v>0.47140452079103168</v>
      </c>
    </row>
    <row r="24" spans="3:11" x14ac:dyDescent="0.25">
      <c r="C24">
        <f t="shared" si="2"/>
        <v>20</v>
      </c>
      <c r="D24">
        <v>22</v>
      </c>
      <c r="E24">
        <v>22</v>
      </c>
      <c r="F24">
        <v>23</v>
      </c>
      <c r="G24">
        <f t="shared" si="0"/>
        <v>22.333333333333332</v>
      </c>
      <c r="H24">
        <f t="shared" si="1"/>
        <v>0.47140452079103168</v>
      </c>
    </row>
    <row r="25" spans="3:11" x14ac:dyDescent="0.25">
      <c r="C25">
        <f t="shared" si="2"/>
        <v>21</v>
      </c>
      <c r="D25">
        <v>21</v>
      </c>
      <c r="E25">
        <v>23</v>
      </c>
      <c r="F25">
        <v>22</v>
      </c>
      <c r="G25">
        <f t="shared" si="0"/>
        <v>22</v>
      </c>
      <c r="H25">
        <f t="shared" si="1"/>
        <v>0.81649658092772603</v>
      </c>
    </row>
    <row r="26" spans="3:11" x14ac:dyDescent="0.25">
      <c r="C26">
        <f t="shared" si="2"/>
        <v>22</v>
      </c>
      <c r="D26">
        <v>23</v>
      </c>
      <c r="E26">
        <v>21</v>
      </c>
      <c r="F26">
        <v>22</v>
      </c>
      <c r="G26">
        <f t="shared" si="0"/>
        <v>22</v>
      </c>
      <c r="H26">
        <f t="shared" si="1"/>
        <v>0.81649658092772603</v>
      </c>
    </row>
    <row r="27" spans="3:11" x14ac:dyDescent="0.25">
      <c r="C27">
        <f t="shared" si="2"/>
        <v>23</v>
      </c>
      <c r="D27">
        <v>21</v>
      </c>
      <c r="E27">
        <v>23</v>
      </c>
      <c r="F27">
        <v>21</v>
      </c>
      <c r="G27">
        <f t="shared" si="0"/>
        <v>21.666666666666668</v>
      </c>
      <c r="H27">
        <f t="shared" si="1"/>
        <v>0.94280904158206336</v>
      </c>
    </row>
    <row r="28" spans="3:11" x14ac:dyDescent="0.25">
      <c r="C28">
        <f t="shared" si="2"/>
        <v>24</v>
      </c>
      <c r="D28">
        <v>21</v>
      </c>
      <c r="E28">
        <v>22</v>
      </c>
      <c r="F28">
        <v>23</v>
      </c>
      <c r="G28">
        <f t="shared" si="0"/>
        <v>22</v>
      </c>
      <c r="H28">
        <f t="shared" si="1"/>
        <v>0.81649658092772603</v>
      </c>
    </row>
    <row r="29" spans="3:11" x14ac:dyDescent="0.25">
      <c r="C29">
        <f t="shared" si="2"/>
        <v>25</v>
      </c>
      <c r="D29">
        <v>22</v>
      </c>
      <c r="E29">
        <v>22</v>
      </c>
      <c r="F29">
        <v>23</v>
      </c>
      <c r="G29">
        <f t="shared" si="0"/>
        <v>22.333333333333332</v>
      </c>
      <c r="H29">
        <f t="shared" si="1"/>
        <v>0.47140452079103168</v>
      </c>
    </row>
    <row r="30" spans="3:11" x14ac:dyDescent="0.25">
      <c r="C30">
        <f t="shared" si="2"/>
        <v>26</v>
      </c>
      <c r="D30">
        <v>22</v>
      </c>
      <c r="E30">
        <v>22</v>
      </c>
      <c r="F30">
        <v>22</v>
      </c>
      <c r="G30">
        <f t="shared" si="0"/>
        <v>22</v>
      </c>
      <c r="H30">
        <f t="shared" si="1"/>
        <v>0</v>
      </c>
    </row>
    <row r="31" spans="3:11" x14ac:dyDescent="0.25">
      <c r="C31">
        <f t="shared" si="2"/>
        <v>27</v>
      </c>
      <c r="D31">
        <v>22</v>
      </c>
      <c r="E31">
        <v>21</v>
      </c>
      <c r="F31">
        <v>23</v>
      </c>
      <c r="G31">
        <f t="shared" si="0"/>
        <v>22</v>
      </c>
      <c r="H31">
        <f t="shared" si="1"/>
        <v>0.81649658092772603</v>
      </c>
    </row>
    <row r="32" spans="3:11" x14ac:dyDescent="0.25">
      <c r="C32">
        <f t="shared" si="2"/>
        <v>28</v>
      </c>
      <c r="D32">
        <v>21</v>
      </c>
      <c r="E32">
        <v>23</v>
      </c>
      <c r="F32">
        <v>22</v>
      </c>
      <c r="G32">
        <f t="shared" si="0"/>
        <v>22</v>
      </c>
      <c r="H32">
        <f t="shared" si="1"/>
        <v>0.81649658092772603</v>
      </c>
    </row>
    <row r="33" spans="3:19" x14ac:dyDescent="0.25">
      <c r="C33">
        <f t="shared" si="2"/>
        <v>29</v>
      </c>
      <c r="D33">
        <v>22</v>
      </c>
      <c r="E33">
        <v>24</v>
      </c>
      <c r="F33">
        <v>22</v>
      </c>
      <c r="G33">
        <f t="shared" si="0"/>
        <v>22.666666666666668</v>
      </c>
      <c r="H33">
        <f t="shared" si="1"/>
        <v>0.94280904158206336</v>
      </c>
    </row>
    <row r="34" spans="3:19" x14ac:dyDescent="0.25">
      <c r="C34">
        <f t="shared" si="2"/>
        <v>30</v>
      </c>
      <c r="D34">
        <v>22</v>
      </c>
      <c r="E34">
        <v>23</v>
      </c>
      <c r="F34">
        <v>23</v>
      </c>
      <c r="G34">
        <f t="shared" si="0"/>
        <v>22.666666666666668</v>
      </c>
      <c r="H34">
        <f t="shared" si="1"/>
        <v>0.47140452079103168</v>
      </c>
    </row>
    <row r="35" spans="3:19" x14ac:dyDescent="0.25">
      <c r="C35">
        <f t="shared" si="2"/>
        <v>31</v>
      </c>
      <c r="D35">
        <v>21</v>
      </c>
      <c r="E35">
        <v>24</v>
      </c>
      <c r="F35">
        <v>22</v>
      </c>
      <c r="G35">
        <f t="shared" si="0"/>
        <v>22.333333333333332</v>
      </c>
      <c r="H35">
        <f t="shared" si="1"/>
        <v>1.247219128924647</v>
      </c>
    </row>
    <row r="36" spans="3:19" x14ac:dyDescent="0.25">
      <c r="C36">
        <f t="shared" si="2"/>
        <v>32</v>
      </c>
      <c r="D36">
        <v>23</v>
      </c>
      <c r="E36">
        <v>23</v>
      </c>
      <c r="F36">
        <v>22</v>
      </c>
      <c r="G36">
        <f t="shared" si="0"/>
        <v>22.666666666666668</v>
      </c>
      <c r="H36">
        <f t="shared" si="1"/>
        <v>0.47140452079103168</v>
      </c>
    </row>
    <row r="37" spans="3:19" x14ac:dyDescent="0.25">
      <c r="C37">
        <f t="shared" si="2"/>
        <v>33</v>
      </c>
      <c r="D37">
        <v>22</v>
      </c>
      <c r="E37">
        <v>23</v>
      </c>
      <c r="F37">
        <v>23</v>
      </c>
      <c r="G37">
        <f t="shared" ref="G37:G68" si="3">AVERAGE(D37:F37)</f>
        <v>22.666666666666668</v>
      </c>
      <c r="H37">
        <f t="shared" si="1"/>
        <v>0.47140452079103168</v>
      </c>
    </row>
    <row r="38" spans="3:19" x14ac:dyDescent="0.25">
      <c r="C38">
        <f t="shared" si="2"/>
        <v>34</v>
      </c>
      <c r="D38">
        <v>22</v>
      </c>
      <c r="E38">
        <v>25</v>
      </c>
      <c r="F38">
        <v>23</v>
      </c>
      <c r="G38">
        <f t="shared" si="3"/>
        <v>23.333333333333332</v>
      </c>
      <c r="H38">
        <f t="shared" si="1"/>
        <v>1.247219128924647</v>
      </c>
    </row>
    <row r="39" spans="3:19" x14ac:dyDescent="0.25">
      <c r="C39">
        <f t="shared" si="2"/>
        <v>35</v>
      </c>
      <c r="D39">
        <v>23</v>
      </c>
      <c r="E39">
        <v>23</v>
      </c>
      <c r="F39">
        <v>23</v>
      </c>
      <c r="G39">
        <f t="shared" si="3"/>
        <v>23</v>
      </c>
      <c r="H39">
        <f t="shared" si="1"/>
        <v>0</v>
      </c>
    </row>
    <row r="40" spans="3:19" x14ac:dyDescent="0.25">
      <c r="C40">
        <f t="shared" si="2"/>
        <v>36</v>
      </c>
      <c r="D40">
        <v>22</v>
      </c>
      <c r="E40">
        <v>23</v>
      </c>
      <c r="F40">
        <v>23</v>
      </c>
      <c r="G40">
        <f t="shared" si="3"/>
        <v>22.666666666666668</v>
      </c>
      <c r="H40">
        <f t="shared" si="1"/>
        <v>0.47140452079103168</v>
      </c>
    </row>
    <row r="41" spans="3:19" x14ac:dyDescent="0.25">
      <c r="C41">
        <f t="shared" si="2"/>
        <v>37</v>
      </c>
      <c r="D41">
        <v>22</v>
      </c>
      <c r="E41">
        <v>25</v>
      </c>
      <c r="F41">
        <v>23</v>
      </c>
      <c r="G41">
        <f t="shared" si="3"/>
        <v>23.333333333333332</v>
      </c>
      <c r="H41">
        <f t="shared" si="1"/>
        <v>1.247219128924647</v>
      </c>
    </row>
    <row r="42" spans="3:19" x14ac:dyDescent="0.25">
      <c r="C42">
        <f t="shared" si="2"/>
        <v>38</v>
      </c>
      <c r="D42">
        <v>23</v>
      </c>
      <c r="E42">
        <v>24</v>
      </c>
      <c r="F42">
        <v>23</v>
      </c>
      <c r="G42">
        <f t="shared" si="3"/>
        <v>23.333333333333332</v>
      </c>
      <c r="H42">
        <f t="shared" si="1"/>
        <v>0.47140452079103168</v>
      </c>
    </row>
    <row r="43" spans="3:19" x14ac:dyDescent="0.25">
      <c r="C43">
        <f t="shared" si="2"/>
        <v>39</v>
      </c>
      <c r="D43">
        <v>23</v>
      </c>
      <c r="E43">
        <v>25</v>
      </c>
      <c r="F43">
        <v>23</v>
      </c>
      <c r="G43">
        <f t="shared" si="3"/>
        <v>23.666666666666668</v>
      </c>
      <c r="H43">
        <f t="shared" si="1"/>
        <v>0.94280904158206336</v>
      </c>
    </row>
    <row r="44" spans="3:19" x14ac:dyDescent="0.25">
      <c r="C44">
        <f t="shared" si="2"/>
        <v>40</v>
      </c>
      <c r="D44">
        <v>24</v>
      </c>
      <c r="E44">
        <v>25</v>
      </c>
      <c r="F44">
        <v>23</v>
      </c>
      <c r="G44">
        <f t="shared" si="3"/>
        <v>24</v>
      </c>
      <c r="H44">
        <f t="shared" si="1"/>
        <v>0.81649658092772603</v>
      </c>
      <c r="M44">
        <v>2</v>
      </c>
      <c r="N44">
        <v>5</v>
      </c>
      <c r="O44">
        <v>2</v>
      </c>
      <c r="P44">
        <f>_xlfn.STDEV.P(M44:O44)</f>
        <v>1.4142135623730951</v>
      </c>
      <c r="S44">
        <f>AVERAGE(M44:O44)</f>
        <v>3</v>
      </c>
    </row>
    <row r="45" spans="3:19" x14ac:dyDescent="0.25">
      <c r="C45">
        <f t="shared" si="2"/>
        <v>41</v>
      </c>
      <c r="D45">
        <v>23</v>
      </c>
      <c r="E45">
        <v>24</v>
      </c>
      <c r="F45">
        <v>24</v>
      </c>
      <c r="G45">
        <f t="shared" si="3"/>
        <v>23.666666666666668</v>
      </c>
      <c r="H45">
        <f t="shared" si="1"/>
        <v>0.47140452079103168</v>
      </c>
    </row>
    <row r="46" spans="3:19" x14ac:dyDescent="0.25">
      <c r="C46">
        <f t="shared" si="2"/>
        <v>42</v>
      </c>
      <c r="D46">
        <v>23</v>
      </c>
      <c r="E46">
        <v>25</v>
      </c>
      <c r="F46">
        <v>23</v>
      </c>
      <c r="G46">
        <f t="shared" si="3"/>
        <v>23.666666666666668</v>
      </c>
      <c r="H46">
        <f t="shared" si="1"/>
        <v>0.94280904158206336</v>
      </c>
    </row>
    <row r="47" spans="3:19" x14ac:dyDescent="0.25">
      <c r="C47">
        <f t="shared" si="2"/>
        <v>43</v>
      </c>
      <c r="D47">
        <v>25</v>
      </c>
      <c r="F47">
        <v>24</v>
      </c>
      <c r="G47">
        <f t="shared" si="3"/>
        <v>24.5</v>
      </c>
      <c r="H47">
        <f t="shared" si="1"/>
        <v>0.5</v>
      </c>
    </row>
    <row r="48" spans="3:19" x14ac:dyDescent="0.25">
      <c r="C48">
        <f t="shared" si="2"/>
        <v>44</v>
      </c>
      <c r="D48">
        <v>24</v>
      </c>
      <c r="E48">
        <v>25</v>
      </c>
      <c r="F48">
        <v>24</v>
      </c>
      <c r="G48">
        <f t="shared" si="3"/>
        <v>24.333333333333332</v>
      </c>
      <c r="H48">
        <f t="shared" si="1"/>
        <v>0.47140452079103168</v>
      </c>
    </row>
    <row r="49" spans="3:8" x14ac:dyDescent="0.25">
      <c r="C49">
        <f t="shared" si="2"/>
        <v>45</v>
      </c>
      <c r="D49">
        <v>25</v>
      </c>
      <c r="E49">
        <v>26</v>
      </c>
      <c r="F49">
        <v>24</v>
      </c>
      <c r="G49">
        <f t="shared" si="3"/>
        <v>25</v>
      </c>
      <c r="H49">
        <f t="shared" si="1"/>
        <v>0.81649658092772603</v>
      </c>
    </row>
    <row r="50" spans="3:8" x14ac:dyDescent="0.25">
      <c r="C50">
        <f t="shared" si="2"/>
        <v>46</v>
      </c>
      <c r="D50">
        <v>25</v>
      </c>
      <c r="E50">
        <v>24</v>
      </c>
      <c r="F50">
        <v>25</v>
      </c>
      <c r="G50">
        <f t="shared" si="3"/>
        <v>24.666666666666668</v>
      </c>
      <c r="H50">
        <f t="shared" si="1"/>
        <v>0.47140452079103168</v>
      </c>
    </row>
    <row r="51" spans="3:8" x14ac:dyDescent="0.25">
      <c r="C51">
        <f t="shared" si="2"/>
        <v>47</v>
      </c>
      <c r="D51">
        <v>24</v>
      </c>
      <c r="E51">
        <v>26</v>
      </c>
      <c r="F51">
        <v>25</v>
      </c>
      <c r="G51">
        <f t="shared" si="3"/>
        <v>25</v>
      </c>
      <c r="H51">
        <f t="shared" si="1"/>
        <v>0.81649658092772603</v>
      </c>
    </row>
    <row r="52" spans="3:8" x14ac:dyDescent="0.25">
      <c r="C52">
        <f t="shared" si="2"/>
        <v>48</v>
      </c>
      <c r="D52">
        <v>25</v>
      </c>
      <c r="E52">
        <v>26</v>
      </c>
      <c r="F52">
        <v>24</v>
      </c>
      <c r="G52">
        <f t="shared" si="3"/>
        <v>25</v>
      </c>
      <c r="H52">
        <f t="shared" si="1"/>
        <v>0.81649658092772603</v>
      </c>
    </row>
    <row r="53" spans="3:8" x14ac:dyDescent="0.25">
      <c r="C53">
        <f t="shared" si="2"/>
        <v>49</v>
      </c>
      <c r="D53">
        <v>24</v>
      </c>
      <c r="E53">
        <v>25</v>
      </c>
      <c r="F53">
        <v>25</v>
      </c>
      <c r="G53">
        <f t="shared" si="3"/>
        <v>24.666666666666668</v>
      </c>
      <c r="H53">
        <f t="shared" si="1"/>
        <v>0.47140452079103168</v>
      </c>
    </row>
    <row r="54" spans="3:8" x14ac:dyDescent="0.25">
      <c r="C54">
        <f t="shared" si="2"/>
        <v>50</v>
      </c>
      <c r="D54">
        <v>24</v>
      </c>
      <c r="E54">
        <v>26</v>
      </c>
      <c r="F54">
        <v>23</v>
      </c>
      <c r="G54">
        <f t="shared" si="3"/>
        <v>24.333333333333332</v>
      </c>
      <c r="H54">
        <f t="shared" si="1"/>
        <v>1.247219128924647</v>
      </c>
    </row>
    <row r="55" spans="3:8" x14ac:dyDescent="0.25">
      <c r="C55">
        <f t="shared" si="2"/>
        <v>51</v>
      </c>
      <c r="D55">
        <v>25</v>
      </c>
      <c r="E55">
        <v>26</v>
      </c>
      <c r="F55">
        <v>25</v>
      </c>
      <c r="G55">
        <f t="shared" si="3"/>
        <v>25.333333333333332</v>
      </c>
      <c r="H55">
        <f t="shared" si="1"/>
        <v>0.47140452079103168</v>
      </c>
    </row>
    <row r="56" spans="3:8" x14ac:dyDescent="0.25">
      <c r="C56">
        <f t="shared" si="2"/>
        <v>52</v>
      </c>
      <c r="D56">
        <v>24</v>
      </c>
      <c r="E56">
        <v>25</v>
      </c>
      <c r="F56">
        <v>25</v>
      </c>
      <c r="G56">
        <f t="shared" si="3"/>
        <v>24.666666666666668</v>
      </c>
      <c r="H56">
        <f t="shared" si="1"/>
        <v>0.47140452079103168</v>
      </c>
    </row>
    <row r="57" spans="3:8" x14ac:dyDescent="0.25">
      <c r="C57">
        <f t="shared" si="2"/>
        <v>53</v>
      </c>
      <c r="D57">
        <v>26</v>
      </c>
      <c r="E57">
        <v>26</v>
      </c>
      <c r="F57">
        <v>25</v>
      </c>
      <c r="G57">
        <f t="shared" si="3"/>
        <v>25.666666666666668</v>
      </c>
      <c r="H57">
        <f t="shared" si="1"/>
        <v>0.47140452079103168</v>
      </c>
    </row>
    <row r="58" spans="3:8" x14ac:dyDescent="0.25">
      <c r="C58">
        <f t="shared" si="2"/>
        <v>54</v>
      </c>
      <c r="D58">
        <v>26</v>
      </c>
      <c r="E58">
        <v>24</v>
      </c>
      <c r="F58">
        <v>26</v>
      </c>
      <c r="G58">
        <f t="shared" si="3"/>
        <v>25.333333333333332</v>
      </c>
      <c r="H58">
        <f t="shared" si="1"/>
        <v>0.94280904158206336</v>
      </c>
    </row>
    <row r="59" spans="3:8" x14ac:dyDescent="0.25">
      <c r="C59">
        <f t="shared" si="2"/>
        <v>55</v>
      </c>
      <c r="D59">
        <v>25</v>
      </c>
      <c r="E59">
        <v>26</v>
      </c>
      <c r="F59">
        <v>26</v>
      </c>
      <c r="G59">
        <f t="shared" si="3"/>
        <v>25.666666666666668</v>
      </c>
      <c r="H59">
        <f t="shared" si="1"/>
        <v>0.47140452079103168</v>
      </c>
    </row>
    <row r="60" spans="3:8" x14ac:dyDescent="0.25">
      <c r="C60">
        <f t="shared" si="2"/>
        <v>56</v>
      </c>
      <c r="D60">
        <v>26</v>
      </c>
      <c r="E60">
        <v>26</v>
      </c>
      <c r="G60">
        <f t="shared" si="3"/>
        <v>26</v>
      </c>
      <c r="H60">
        <f t="shared" si="1"/>
        <v>0</v>
      </c>
    </row>
    <row r="61" spans="3:8" x14ac:dyDescent="0.25">
      <c r="C61">
        <f t="shared" si="2"/>
        <v>57</v>
      </c>
      <c r="D61">
        <v>25</v>
      </c>
      <c r="F61">
        <v>26</v>
      </c>
      <c r="G61">
        <f t="shared" si="3"/>
        <v>25.5</v>
      </c>
      <c r="H61">
        <f t="shared" si="1"/>
        <v>0.5</v>
      </c>
    </row>
    <row r="62" spans="3:8" x14ac:dyDescent="0.25">
      <c r="C62">
        <f t="shared" si="2"/>
        <v>58</v>
      </c>
      <c r="D62">
        <v>25</v>
      </c>
      <c r="E62">
        <v>27</v>
      </c>
      <c r="F62">
        <v>25</v>
      </c>
      <c r="G62">
        <f t="shared" si="3"/>
        <v>25.666666666666668</v>
      </c>
      <c r="H62">
        <f t="shared" si="1"/>
        <v>0.94280904158206336</v>
      </c>
    </row>
    <row r="63" spans="3:8" x14ac:dyDescent="0.25">
      <c r="C63">
        <f t="shared" si="2"/>
        <v>59</v>
      </c>
      <c r="D63">
        <v>26</v>
      </c>
      <c r="E63">
        <v>27</v>
      </c>
      <c r="G63">
        <f t="shared" si="3"/>
        <v>26.5</v>
      </c>
      <c r="H63">
        <f t="shared" si="1"/>
        <v>0.5</v>
      </c>
    </row>
    <row r="64" spans="3:8" x14ac:dyDescent="0.25">
      <c r="C64">
        <f t="shared" si="2"/>
        <v>60</v>
      </c>
      <c r="D64">
        <v>25</v>
      </c>
      <c r="E64">
        <v>26</v>
      </c>
      <c r="F64">
        <v>27</v>
      </c>
      <c r="G64">
        <f t="shared" si="3"/>
        <v>26</v>
      </c>
      <c r="H64">
        <f t="shared" si="1"/>
        <v>0.81649658092772603</v>
      </c>
    </row>
    <row r="65" spans="3:8" x14ac:dyDescent="0.25">
      <c r="C65">
        <f t="shared" si="2"/>
        <v>61</v>
      </c>
      <c r="D65">
        <v>28</v>
      </c>
      <c r="E65">
        <v>27</v>
      </c>
      <c r="F65">
        <v>26</v>
      </c>
      <c r="G65">
        <f t="shared" si="3"/>
        <v>27</v>
      </c>
      <c r="H65">
        <f t="shared" si="1"/>
        <v>0.81649658092772603</v>
      </c>
    </row>
    <row r="66" spans="3:8" x14ac:dyDescent="0.25">
      <c r="C66">
        <f t="shared" si="2"/>
        <v>62</v>
      </c>
      <c r="D66">
        <v>27</v>
      </c>
      <c r="E66">
        <v>26</v>
      </c>
      <c r="G66">
        <f t="shared" si="3"/>
        <v>26.5</v>
      </c>
      <c r="H66">
        <f t="shared" si="1"/>
        <v>0.5</v>
      </c>
    </row>
    <row r="67" spans="3:8" x14ac:dyDescent="0.25">
      <c r="C67">
        <f t="shared" si="2"/>
        <v>63</v>
      </c>
      <c r="D67">
        <v>27</v>
      </c>
      <c r="E67">
        <v>26</v>
      </c>
      <c r="F67">
        <v>26</v>
      </c>
      <c r="G67">
        <f t="shared" si="3"/>
        <v>26.333333333333332</v>
      </c>
      <c r="H67">
        <f t="shared" si="1"/>
        <v>0.47140452079103168</v>
      </c>
    </row>
    <row r="68" spans="3:8" x14ac:dyDescent="0.25">
      <c r="C68">
        <f t="shared" si="2"/>
        <v>64</v>
      </c>
      <c r="D68">
        <v>27</v>
      </c>
      <c r="E68">
        <v>28</v>
      </c>
      <c r="F68">
        <v>26</v>
      </c>
      <c r="G68">
        <f t="shared" si="3"/>
        <v>27</v>
      </c>
      <c r="H68">
        <f t="shared" si="1"/>
        <v>0.81649658092772603</v>
      </c>
    </row>
    <row r="69" spans="3:8" x14ac:dyDescent="0.25">
      <c r="C69">
        <f t="shared" si="2"/>
        <v>65</v>
      </c>
      <c r="D69">
        <v>27</v>
      </c>
      <c r="E69">
        <v>28</v>
      </c>
      <c r="F69">
        <v>26</v>
      </c>
      <c r="G69">
        <f t="shared" ref="G69:G107" si="4">AVERAGE(D69:F69)</f>
        <v>27</v>
      </c>
      <c r="H69">
        <f t="shared" si="1"/>
        <v>0.81649658092772603</v>
      </c>
    </row>
    <row r="70" spans="3:8" x14ac:dyDescent="0.25">
      <c r="C70">
        <f t="shared" si="2"/>
        <v>66</v>
      </c>
      <c r="D70">
        <v>26</v>
      </c>
      <c r="E70">
        <v>28</v>
      </c>
      <c r="F70">
        <v>28</v>
      </c>
      <c r="G70">
        <f t="shared" si="4"/>
        <v>27.333333333333332</v>
      </c>
      <c r="H70">
        <f t="shared" ref="H70:H105" si="5">_xlfn.STDEV.P(D70:F70)</f>
        <v>0.94280904158206336</v>
      </c>
    </row>
    <row r="71" spans="3:8" x14ac:dyDescent="0.25">
      <c r="C71">
        <f t="shared" ref="C71:C102" si="6">C70+1</f>
        <v>67</v>
      </c>
      <c r="D71">
        <v>28</v>
      </c>
      <c r="E71">
        <v>28</v>
      </c>
      <c r="F71">
        <v>28</v>
      </c>
      <c r="G71">
        <f t="shared" si="4"/>
        <v>28</v>
      </c>
      <c r="H71">
        <f t="shared" si="5"/>
        <v>0</v>
      </c>
    </row>
    <row r="72" spans="3:8" x14ac:dyDescent="0.25">
      <c r="C72">
        <f t="shared" si="6"/>
        <v>68</v>
      </c>
      <c r="D72">
        <v>27</v>
      </c>
      <c r="E72">
        <v>27</v>
      </c>
      <c r="G72">
        <f t="shared" si="4"/>
        <v>27</v>
      </c>
      <c r="H72">
        <f t="shared" si="5"/>
        <v>0</v>
      </c>
    </row>
    <row r="73" spans="3:8" x14ac:dyDescent="0.25">
      <c r="C73">
        <f t="shared" si="6"/>
        <v>69</v>
      </c>
      <c r="D73">
        <v>26</v>
      </c>
      <c r="E73">
        <v>29</v>
      </c>
      <c r="F73">
        <v>27</v>
      </c>
      <c r="G73">
        <f t="shared" si="4"/>
        <v>27.333333333333332</v>
      </c>
      <c r="H73">
        <f t="shared" si="5"/>
        <v>1.247219128924647</v>
      </c>
    </row>
    <row r="74" spans="3:8" x14ac:dyDescent="0.25">
      <c r="C74">
        <f t="shared" si="6"/>
        <v>70</v>
      </c>
      <c r="D74">
        <v>28</v>
      </c>
      <c r="E74">
        <v>29</v>
      </c>
      <c r="F74">
        <v>28</v>
      </c>
      <c r="G74">
        <f t="shared" si="4"/>
        <v>28.333333333333332</v>
      </c>
      <c r="H74">
        <f t="shared" si="5"/>
        <v>0.47140452079103168</v>
      </c>
    </row>
    <row r="75" spans="3:8" x14ac:dyDescent="0.25">
      <c r="C75">
        <f t="shared" si="6"/>
        <v>71</v>
      </c>
      <c r="D75">
        <v>26</v>
      </c>
      <c r="E75">
        <v>28</v>
      </c>
      <c r="F75">
        <v>27</v>
      </c>
      <c r="G75">
        <f t="shared" si="4"/>
        <v>27</v>
      </c>
      <c r="H75">
        <f t="shared" si="5"/>
        <v>0.81649658092772603</v>
      </c>
    </row>
    <row r="76" spans="3:8" x14ac:dyDescent="0.25">
      <c r="C76">
        <f t="shared" si="6"/>
        <v>72</v>
      </c>
      <c r="D76">
        <v>28</v>
      </c>
      <c r="E76">
        <v>29</v>
      </c>
      <c r="F76">
        <v>27</v>
      </c>
      <c r="G76">
        <f t="shared" si="4"/>
        <v>28</v>
      </c>
      <c r="H76">
        <f t="shared" si="5"/>
        <v>0.81649658092772603</v>
      </c>
    </row>
    <row r="77" spans="3:8" x14ac:dyDescent="0.25">
      <c r="C77">
        <f t="shared" si="6"/>
        <v>73</v>
      </c>
      <c r="D77">
        <v>29</v>
      </c>
      <c r="E77">
        <v>29</v>
      </c>
      <c r="F77">
        <v>29</v>
      </c>
      <c r="G77">
        <f t="shared" si="4"/>
        <v>29</v>
      </c>
      <c r="H77">
        <f t="shared" si="5"/>
        <v>0</v>
      </c>
    </row>
    <row r="78" spans="3:8" x14ac:dyDescent="0.25">
      <c r="C78">
        <f t="shared" si="6"/>
        <v>74</v>
      </c>
      <c r="D78">
        <v>29</v>
      </c>
      <c r="E78">
        <v>31</v>
      </c>
      <c r="F78">
        <v>28</v>
      </c>
      <c r="G78">
        <f t="shared" si="4"/>
        <v>29.333333333333332</v>
      </c>
      <c r="H78">
        <f t="shared" si="5"/>
        <v>1.247219128924647</v>
      </c>
    </row>
    <row r="79" spans="3:8" x14ac:dyDescent="0.25">
      <c r="C79">
        <f t="shared" si="6"/>
        <v>75</v>
      </c>
      <c r="D79">
        <v>29</v>
      </c>
      <c r="E79">
        <v>31</v>
      </c>
      <c r="F79">
        <v>29</v>
      </c>
      <c r="G79">
        <f t="shared" si="4"/>
        <v>29.666666666666668</v>
      </c>
      <c r="H79">
        <f t="shared" si="5"/>
        <v>0.94280904158206336</v>
      </c>
    </row>
    <row r="80" spans="3:8" x14ac:dyDescent="0.25">
      <c r="C80">
        <f t="shared" si="6"/>
        <v>76</v>
      </c>
      <c r="D80">
        <v>29</v>
      </c>
      <c r="E80">
        <v>30</v>
      </c>
      <c r="F80">
        <v>29</v>
      </c>
      <c r="G80">
        <f t="shared" si="4"/>
        <v>29.333333333333332</v>
      </c>
      <c r="H80">
        <f t="shared" si="5"/>
        <v>0.47140452079103168</v>
      </c>
    </row>
    <row r="81" spans="3:8" x14ac:dyDescent="0.25">
      <c r="C81">
        <f t="shared" si="6"/>
        <v>77</v>
      </c>
      <c r="D81">
        <v>30</v>
      </c>
      <c r="E81">
        <v>32</v>
      </c>
      <c r="F81">
        <v>29</v>
      </c>
      <c r="G81">
        <f t="shared" si="4"/>
        <v>30.333333333333332</v>
      </c>
      <c r="H81">
        <f t="shared" si="5"/>
        <v>1.247219128924647</v>
      </c>
    </row>
    <row r="82" spans="3:8" x14ac:dyDescent="0.25">
      <c r="C82">
        <f t="shared" si="6"/>
        <v>78</v>
      </c>
      <c r="D82">
        <v>31</v>
      </c>
      <c r="E82">
        <v>31</v>
      </c>
      <c r="F82">
        <v>30</v>
      </c>
      <c r="G82">
        <f t="shared" si="4"/>
        <v>30.666666666666668</v>
      </c>
      <c r="H82">
        <f t="shared" si="5"/>
        <v>0.47140452079103168</v>
      </c>
    </row>
    <row r="83" spans="3:8" x14ac:dyDescent="0.25">
      <c r="C83">
        <f t="shared" si="6"/>
        <v>79</v>
      </c>
      <c r="D83">
        <v>30</v>
      </c>
      <c r="E83">
        <v>33</v>
      </c>
      <c r="F83">
        <v>29</v>
      </c>
      <c r="G83">
        <f t="shared" si="4"/>
        <v>30.666666666666668</v>
      </c>
      <c r="H83">
        <f t="shared" si="5"/>
        <v>1.699673171197595</v>
      </c>
    </row>
    <row r="84" spans="3:8" x14ac:dyDescent="0.25">
      <c r="C84">
        <f t="shared" si="6"/>
        <v>80</v>
      </c>
      <c r="D84">
        <v>31</v>
      </c>
      <c r="E84">
        <v>33</v>
      </c>
      <c r="F84">
        <v>31</v>
      </c>
      <c r="G84">
        <f t="shared" si="4"/>
        <v>31.666666666666668</v>
      </c>
      <c r="H84">
        <f t="shared" si="5"/>
        <v>0.94280904158206336</v>
      </c>
    </row>
    <row r="85" spans="3:8" x14ac:dyDescent="0.25">
      <c r="C85">
        <f t="shared" si="6"/>
        <v>81</v>
      </c>
      <c r="D85">
        <v>31</v>
      </c>
      <c r="E85">
        <v>32</v>
      </c>
      <c r="F85">
        <v>29</v>
      </c>
      <c r="G85">
        <f t="shared" si="4"/>
        <v>30.666666666666668</v>
      </c>
      <c r="H85">
        <f t="shared" si="5"/>
        <v>1.247219128924647</v>
      </c>
    </row>
    <row r="86" spans="3:8" x14ac:dyDescent="0.25">
      <c r="C86">
        <f t="shared" si="6"/>
        <v>82</v>
      </c>
      <c r="D86">
        <v>29</v>
      </c>
      <c r="E86">
        <v>33</v>
      </c>
      <c r="F86">
        <v>30</v>
      </c>
      <c r="G86">
        <f t="shared" si="4"/>
        <v>30.666666666666668</v>
      </c>
      <c r="H86">
        <f t="shared" si="5"/>
        <v>1.699673171197595</v>
      </c>
    </row>
    <row r="87" spans="3:8" x14ac:dyDescent="0.25">
      <c r="C87">
        <f t="shared" si="6"/>
        <v>83</v>
      </c>
      <c r="D87">
        <v>31</v>
      </c>
      <c r="E87">
        <v>33</v>
      </c>
      <c r="F87">
        <v>32</v>
      </c>
      <c r="G87">
        <f t="shared" si="4"/>
        <v>32</v>
      </c>
      <c r="H87">
        <f t="shared" si="5"/>
        <v>0.81649658092772603</v>
      </c>
    </row>
    <row r="88" spans="3:8" x14ac:dyDescent="0.25">
      <c r="C88">
        <f t="shared" si="6"/>
        <v>84</v>
      </c>
      <c r="D88">
        <v>32</v>
      </c>
      <c r="E88">
        <v>34</v>
      </c>
      <c r="F88">
        <v>31</v>
      </c>
      <c r="G88">
        <f t="shared" si="4"/>
        <v>32.333333333333336</v>
      </c>
      <c r="H88">
        <f t="shared" si="5"/>
        <v>1.247219128924647</v>
      </c>
    </row>
    <row r="89" spans="3:8" x14ac:dyDescent="0.25">
      <c r="C89">
        <f t="shared" si="6"/>
        <v>85</v>
      </c>
      <c r="D89">
        <v>32</v>
      </c>
      <c r="E89">
        <v>35</v>
      </c>
      <c r="F89">
        <v>32</v>
      </c>
      <c r="G89">
        <f t="shared" si="4"/>
        <v>33</v>
      </c>
      <c r="H89">
        <f t="shared" si="5"/>
        <v>1.4142135623730951</v>
      </c>
    </row>
    <row r="90" spans="3:8" x14ac:dyDescent="0.25">
      <c r="C90">
        <f t="shared" si="6"/>
        <v>86</v>
      </c>
      <c r="D90">
        <v>34</v>
      </c>
      <c r="E90">
        <v>36</v>
      </c>
      <c r="F90">
        <v>32</v>
      </c>
      <c r="G90">
        <f t="shared" si="4"/>
        <v>34</v>
      </c>
      <c r="H90">
        <f t="shared" si="5"/>
        <v>1.6329931618554521</v>
      </c>
    </row>
    <row r="91" spans="3:8" x14ac:dyDescent="0.25">
      <c r="C91">
        <f t="shared" si="6"/>
        <v>87</v>
      </c>
      <c r="D91">
        <v>35</v>
      </c>
      <c r="E91">
        <v>35</v>
      </c>
      <c r="F91">
        <v>33</v>
      </c>
      <c r="G91">
        <f t="shared" si="4"/>
        <v>34.333333333333336</v>
      </c>
      <c r="H91">
        <f t="shared" si="5"/>
        <v>0.94280904158206336</v>
      </c>
    </row>
    <row r="92" spans="3:8" x14ac:dyDescent="0.25">
      <c r="C92">
        <f t="shared" si="6"/>
        <v>88</v>
      </c>
      <c r="D92">
        <v>36</v>
      </c>
      <c r="E92">
        <v>37</v>
      </c>
      <c r="F92">
        <v>32</v>
      </c>
      <c r="G92">
        <f t="shared" si="4"/>
        <v>35</v>
      </c>
      <c r="H92">
        <f t="shared" si="5"/>
        <v>2.1602468994692869</v>
      </c>
    </row>
    <row r="93" spans="3:8" x14ac:dyDescent="0.25">
      <c r="C93">
        <f t="shared" si="6"/>
        <v>89</v>
      </c>
      <c r="D93">
        <v>35</v>
      </c>
      <c r="E93">
        <v>38</v>
      </c>
      <c r="F93">
        <v>35</v>
      </c>
      <c r="G93">
        <f t="shared" si="4"/>
        <v>36</v>
      </c>
      <c r="H93">
        <f t="shared" si="5"/>
        <v>1.4142135623730951</v>
      </c>
    </row>
    <row r="94" spans="3:8" x14ac:dyDescent="0.25">
      <c r="C94">
        <f t="shared" si="6"/>
        <v>90</v>
      </c>
      <c r="D94">
        <v>36</v>
      </c>
      <c r="E94">
        <v>39</v>
      </c>
      <c r="F94">
        <v>34</v>
      </c>
      <c r="G94">
        <f t="shared" si="4"/>
        <v>36.333333333333336</v>
      </c>
      <c r="H94">
        <f t="shared" si="5"/>
        <v>2.0548046676563256</v>
      </c>
    </row>
    <row r="95" spans="3:8" x14ac:dyDescent="0.25">
      <c r="C95">
        <f t="shared" si="6"/>
        <v>91</v>
      </c>
      <c r="D95">
        <v>37</v>
      </c>
      <c r="E95">
        <v>38</v>
      </c>
      <c r="F95">
        <v>35</v>
      </c>
      <c r="G95">
        <f t="shared" si="4"/>
        <v>36.666666666666664</v>
      </c>
      <c r="H95">
        <f t="shared" si="5"/>
        <v>1.247219128924647</v>
      </c>
    </row>
    <row r="96" spans="3:8" x14ac:dyDescent="0.25">
      <c r="C96">
        <f t="shared" si="6"/>
        <v>92</v>
      </c>
      <c r="D96">
        <v>37</v>
      </c>
      <c r="E96">
        <v>42</v>
      </c>
      <c r="F96">
        <v>35</v>
      </c>
      <c r="G96">
        <f t="shared" si="4"/>
        <v>38</v>
      </c>
      <c r="H96">
        <f t="shared" si="5"/>
        <v>2.9439202887759488</v>
      </c>
    </row>
    <row r="97" spans="3:8" x14ac:dyDescent="0.25">
      <c r="C97">
        <f t="shared" si="6"/>
        <v>93</v>
      </c>
      <c r="D97">
        <v>38</v>
      </c>
      <c r="E97">
        <v>39</v>
      </c>
      <c r="F97">
        <v>36</v>
      </c>
      <c r="G97">
        <f t="shared" si="4"/>
        <v>37.666666666666664</v>
      </c>
      <c r="H97">
        <f t="shared" si="5"/>
        <v>1.247219128924647</v>
      </c>
    </row>
    <row r="98" spans="3:8" x14ac:dyDescent="0.25">
      <c r="C98">
        <f t="shared" si="6"/>
        <v>94</v>
      </c>
      <c r="D98">
        <v>39</v>
      </c>
      <c r="E98">
        <v>41</v>
      </c>
      <c r="F98">
        <v>36</v>
      </c>
      <c r="G98">
        <f t="shared" si="4"/>
        <v>38.666666666666664</v>
      </c>
      <c r="H98">
        <f t="shared" si="5"/>
        <v>2.0548046676563256</v>
      </c>
    </row>
    <row r="99" spans="3:8" x14ac:dyDescent="0.25">
      <c r="C99">
        <f t="shared" si="6"/>
        <v>95</v>
      </c>
      <c r="D99">
        <v>45</v>
      </c>
      <c r="E99">
        <v>48</v>
      </c>
      <c r="F99">
        <v>36</v>
      </c>
      <c r="G99">
        <f t="shared" si="4"/>
        <v>43</v>
      </c>
      <c r="H99">
        <f t="shared" si="5"/>
        <v>5.0990195135927845</v>
      </c>
    </row>
    <row r="100" spans="3:8" x14ac:dyDescent="0.25">
      <c r="C100">
        <f t="shared" si="6"/>
        <v>96</v>
      </c>
      <c r="D100">
        <v>43</v>
      </c>
      <c r="E100">
        <v>42</v>
      </c>
      <c r="F100">
        <v>37</v>
      </c>
      <c r="G100">
        <f t="shared" si="4"/>
        <v>40.666666666666664</v>
      </c>
      <c r="H100">
        <f t="shared" si="5"/>
        <v>2.6246692913372702</v>
      </c>
    </row>
    <row r="101" spans="3:8" x14ac:dyDescent="0.25">
      <c r="C101">
        <f t="shared" si="6"/>
        <v>97</v>
      </c>
      <c r="D101">
        <v>44</v>
      </c>
      <c r="F101">
        <v>39</v>
      </c>
      <c r="G101" s="67">
        <f t="shared" si="4"/>
        <v>41.5</v>
      </c>
      <c r="H101">
        <f t="shared" si="5"/>
        <v>2.5</v>
      </c>
    </row>
    <row r="102" spans="3:8" x14ac:dyDescent="0.25">
      <c r="C102">
        <f t="shared" si="6"/>
        <v>98</v>
      </c>
      <c r="F102">
        <v>37</v>
      </c>
      <c r="G102" s="67">
        <f t="shared" si="4"/>
        <v>37</v>
      </c>
      <c r="H102">
        <f t="shared" si="5"/>
        <v>0</v>
      </c>
    </row>
    <row r="103" spans="3:8" x14ac:dyDescent="0.25">
      <c r="F103">
        <v>40</v>
      </c>
      <c r="G103" s="67">
        <f t="shared" si="4"/>
        <v>40</v>
      </c>
      <c r="H103">
        <f t="shared" si="5"/>
        <v>0</v>
      </c>
    </row>
    <row r="104" spans="3:8" x14ac:dyDescent="0.25">
      <c r="F104">
        <v>42</v>
      </c>
      <c r="G104" s="67">
        <f t="shared" si="4"/>
        <v>42</v>
      </c>
      <c r="H104">
        <f t="shared" si="5"/>
        <v>0</v>
      </c>
    </row>
    <row r="105" spans="3:8" x14ac:dyDescent="0.25">
      <c r="F105">
        <v>39</v>
      </c>
      <c r="G105" s="67">
        <f t="shared" si="4"/>
        <v>39</v>
      </c>
      <c r="H105">
        <f t="shared" si="5"/>
        <v>0</v>
      </c>
    </row>
    <row r="106" spans="3:8" x14ac:dyDescent="0.25">
      <c r="G106" s="67" t="e">
        <f t="shared" si="4"/>
        <v>#DIV/0!</v>
      </c>
    </row>
    <row r="107" spans="3:8" x14ac:dyDescent="0.25">
      <c r="F107">
        <v>45</v>
      </c>
      <c r="G107" s="67">
        <f t="shared" si="4"/>
        <v>45</v>
      </c>
    </row>
  </sheetData>
  <dataValidations count="1">
    <dataValidation allowBlank="1" showInputMessage="1" showErrorMessage="1" prompt="TBL_HST[CH2]" sqref="D5:F87" xr:uid="{90597581-8785-4D37-B188-5A076A886F22}"/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35C68-6C71-4915-85A5-B9B9278ACEEE}">
  <sheetPr codeName="Sheet13"/>
  <dimension ref="A1:AH2445"/>
  <sheetViews>
    <sheetView topLeftCell="B1" zoomScaleNormal="100" workbookViewId="0">
      <selection activeCell="J6" sqref="J6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/>
      <c r="D4" s="53">
        <v>6000</v>
      </c>
      <c r="E4" s="58">
        <v>29</v>
      </c>
      <c r="F4" s="58">
        <v>69</v>
      </c>
      <c r="G4" s="53">
        <v>98</v>
      </c>
      <c r="H4" s="11"/>
      <c r="I4" s="12" t="s">
        <v>8</v>
      </c>
      <c r="J4" s="13">
        <v>1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/>
      <c r="D5" s="53">
        <v>295</v>
      </c>
      <c r="E5" s="58">
        <v>30</v>
      </c>
      <c r="F5" s="58">
        <v>66</v>
      </c>
      <c r="G5" s="53">
        <v>96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/>
      <c r="D6" s="53">
        <v>309</v>
      </c>
      <c r="E6" s="58">
        <v>30</v>
      </c>
      <c r="F6" s="58">
        <v>65</v>
      </c>
      <c r="G6" s="53">
        <v>95</v>
      </c>
      <c r="H6" s="11"/>
      <c r="I6" s="15" t="s">
        <v>9</v>
      </c>
      <c r="J6" s="16" t="s">
        <v>52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/>
      <c r="D7" s="53">
        <v>305</v>
      </c>
      <c r="E7" s="58">
        <v>30</v>
      </c>
      <c r="F7" s="58">
        <v>64</v>
      </c>
      <c r="G7" s="53">
        <v>94</v>
      </c>
      <c r="H7" s="11"/>
      <c r="I7" s="17" t="s">
        <v>10</v>
      </c>
      <c r="J7" s="18">
        <v>12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/>
      <c r="D8" s="53">
        <v>303</v>
      </c>
      <c r="E8" s="58"/>
      <c r="F8" s="58" t="s">
        <v>50</v>
      </c>
      <c r="G8" s="53">
        <v>94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/>
      <c r="D9" s="53">
        <v>309</v>
      </c>
      <c r="E9" s="58">
        <v>30</v>
      </c>
      <c r="F9" s="58">
        <v>65</v>
      </c>
      <c r="G9" s="53">
        <v>95</v>
      </c>
      <c r="H9" s="11"/>
      <c r="I9" s="15" t="s">
        <v>11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/>
      <c r="D10" s="53">
        <v>304</v>
      </c>
      <c r="E10" s="58">
        <v>31</v>
      </c>
      <c r="F10" s="58">
        <v>66</v>
      </c>
      <c r="G10" s="53">
        <v>97</v>
      </c>
      <c r="H10" s="11"/>
      <c r="I10" s="17" t="s">
        <v>12</v>
      </c>
      <c r="J10" s="21" t="s">
        <v>13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/>
      <c r="D11" s="53">
        <v>305</v>
      </c>
      <c r="E11" s="58">
        <v>30</v>
      </c>
      <c r="F11" s="58">
        <v>62</v>
      </c>
      <c r="G11" s="53">
        <v>92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/>
      <c r="D12" s="53">
        <v>306</v>
      </c>
      <c r="E12" s="58"/>
      <c r="F12" s="58" t="s">
        <v>50</v>
      </c>
      <c r="G12" s="53">
        <v>95</v>
      </c>
      <c r="H12" s="11"/>
      <c r="I12" s="15" t="s">
        <v>14</v>
      </c>
      <c r="J12" s="16">
        <v>588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/>
      <c r="D13" s="53">
        <v>306</v>
      </c>
      <c r="E13" s="58">
        <v>30</v>
      </c>
      <c r="F13" s="58">
        <v>65</v>
      </c>
      <c r="G13" s="53">
        <v>95</v>
      </c>
      <c r="H13" s="11"/>
      <c r="I13" s="24" t="s">
        <v>15</v>
      </c>
      <c r="J13" s="25">
        <f>J12+J7</f>
        <v>600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/>
      <c r="D14" s="53">
        <v>307</v>
      </c>
      <c r="E14" s="58">
        <v>32</v>
      </c>
      <c r="F14" s="58">
        <v>65</v>
      </c>
      <c r="G14" s="53">
        <v>97</v>
      </c>
      <c r="H14" s="11"/>
      <c r="I14" s="24" t="s">
        <v>16</v>
      </c>
      <c r="J14" s="26">
        <v>596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/>
      <c r="D15" s="53">
        <v>301</v>
      </c>
      <c r="E15" s="58">
        <v>32</v>
      </c>
      <c r="F15" s="58">
        <v>65</v>
      </c>
      <c r="G15" s="53">
        <v>97</v>
      </c>
      <c r="H15" s="11"/>
      <c r="I15" s="17" t="s">
        <v>17</v>
      </c>
      <c r="J15" s="21">
        <f>J13-J14</f>
        <v>4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/>
      <c r="D16" s="53">
        <v>303</v>
      </c>
      <c r="E16" s="58"/>
      <c r="F16" s="58" t="s">
        <v>50</v>
      </c>
      <c r="G16" s="53">
        <v>96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/>
      <c r="D17" s="53">
        <v>303</v>
      </c>
      <c r="E17" s="58">
        <v>32</v>
      </c>
      <c r="F17" s="58">
        <v>64</v>
      </c>
      <c r="G17" s="53">
        <v>96</v>
      </c>
      <c r="H17" s="11"/>
      <c r="I17" s="15" t="s">
        <v>18</v>
      </c>
      <c r="J17" s="16">
        <v>52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/>
      <c r="D18" s="53">
        <v>303</v>
      </c>
      <c r="E18" s="58">
        <v>32</v>
      </c>
      <c r="F18" s="58">
        <v>66</v>
      </c>
      <c r="G18" s="53">
        <v>98</v>
      </c>
      <c r="H18" s="11"/>
      <c r="I18" s="24" t="s">
        <v>19</v>
      </c>
      <c r="J18" s="25">
        <v>50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/>
      <c r="D19" s="53">
        <v>305</v>
      </c>
      <c r="E19" s="58">
        <v>33</v>
      </c>
      <c r="F19" s="58">
        <v>65</v>
      </c>
      <c r="G19" s="53">
        <v>98</v>
      </c>
      <c r="H19" s="11"/>
      <c r="I19" s="24" t="s">
        <v>20</v>
      </c>
      <c r="J19" s="25">
        <v>41.3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6.5" x14ac:dyDescent="0.25">
      <c r="A20" s="1"/>
      <c r="B20" s="8">
        <f t="shared" si="0"/>
        <v>17</v>
      </c>
      <c r="C20" s="9"/>
      <c r="D20" s="53">
        <v>302</v>
      </c>
      <c r="E20" s="58">
        <v>34</v>
      </c>
      <c r="F20" s="58">
        <v>66</v>
      </c>
      <c r="G20" s="53">
        <v>100</v>
      </c>
      <c r="H20" s="11"/>
      <c r="I20" s="29" t="s">
        <v>28</v>
      </c>
      <c r="J20" s="30">
        <f>J18-J19</f>
        <v>8.7000000000000028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/>
      <c r="D21" s="53">
        <v>299</v>
      </c>
      <c r="E21" s="58">
        <v>33</v>
      </c>
      <c r="F21" s="58">
        <v>65</v>
      </c>
      <c r="G21" s="53">
        <v>98</v>
      </c>
      <c r="H21" s="11"/>
      <c r="I21" s="31"/>
      <c r="J21" s="32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/>
      <c r="D22" s="53">
        <v>304</v>
      </c>
      <c r="E22" s="58">
        <v>34</v>
      </c>
      <c r="F22" s="58">
        <v>65</v>
      </c>
      <c r="G22" s="53">
        <v>99</v>
      </c>
      <c r="H22" s="11"/>
      <c r="I22" s="15" t="s">
        <v>21</v>
      </c>
      <c r="J22" s="16">
        <f>COUNT(G4:G80)</f>
        <v>40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/>
      <c r="D23" s="53">
        <v>300</v>
      </c>
      <c r="E23" s="58">
        <v>33</v>
      </c>
      <c r="F23" s="58">
        <v>65</v>
      </c>
      <c r="G23" s="53">
        <v>98</v>
      </c>
      <c r="H23" s="11"/>
      <c r="I23" s="17" t="s">
        <v>22</v>
      </c>
      <c r="J23" s="21">
        <f>J15/J22</f>
        <v>0.1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/>
      <c r="D24" s="53">
        <v>304</v>
      </c>
      <c r="E24" s="58">
        <v>34</v>
      </c>
      <c r="F24" s="58">
        <v>65</v>
      </c>
      <c r="G24" s="53">
        <v>99</v>
      </c>
      <c r="H24" s="11"/>
      <c r="I24" s="14"/>
      <c r="J24" s="33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/>
      <c r="D25" s="53">
        <v>300</v>
      </c>
      <c r="E25" s="58">
        <v>35</v>
      </c>
      <c r="F25" s="58">
        <v>64</v>
      </c>
      <c r="G25" s="53">
        <v>99</v>
      </c>
      <c r="H25" s="11"/>
      <c r="I25" s="15" t="s">
        <v>23</v>
      </c>
      <c r="J25" s="16">
        <f>AVERAGE(E4:E1048576)</f>
        <v>35.205882352941174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/>
      <c r="D26" s="53">
        <v>301</v>
      </c>
      <c r="E26" s="58">
        <v>34</v>
      </c>
      <c r="F26" s="58">
        <v>64</v>
      </c>
      <c r="G26" s="53">
        <v>98</v>
      </c>
      <c r="H26" s="11"/>
      <c r="I26" s="24" t="s">
        <v>24</v>
      </c>
      <c r="J26" s="25">
        <f>AVERAGE(F4:F1048576)</f>
        <v>65.294117647058826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/>
      <c r="D27" s="53">
        <v>303</v>
      </c>
      <c r="E27" s="58">
        <v>36</v>
      </c>
      <c r="F27" s="58">
        <v>63</v>
      </c>
      <c r="G27" s="53">
        <v>99</v>
      </c>
      <c r="H27" s="11"/>
      <c r="I27" s="17" t="s">
        <v>25</v>
      </c>
      <c r="J27" s="21">
        <f>AVERAGE(D5:D1048576)</f>
        <v>299.15384615384613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/>
      <c r="D28" s="53">
        <v>299</v>
      </c>
      <c r="E28" s="58">
        <v>36</v>
      </c>
      <c r="F28" s="58">
        <v>65</v>
      </c>
      <c r="G28" s="53">
        <v>101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/>
      <c r="D29" s="53">
        <v>301</v>
      </c>
      <c r="E29" s="58">
        <v>37</v>
      </c>
      <c r="F29" s="58">
        <v>64</v>
      </c>
      <c r="G29" s="53">
        <v>101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/>
      <c r="D30" s="53">
        <v>298</v>
      </c>
      <c r="E30" s="58">
        <v>37</v>
      </c>
      <c r="F30" s="58">
        <v>63</v>
      </c>
      <c r="G30" s="53">
        <v>100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/>
      <c r="D31" s="53">
        <v>300</v>
      </c>
      <c r="E31" s="58">
        <v>38</v>
      </c>
      <c r="F31" s="58">
        <v>65</v>
      </c>
      <c r="G31" s="53">
        <v>103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/>
      <c r="D32" s="53">
        <v>297</v>
      </c>
      <c r="E32" s="58">
        <v>38</v>
      </c>
      <c r="F32" s="58">
        <v>63</v>
      </c>
      <c r="G32" s="53">
        <v>101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/>
      <c r="D33" s="53">
        <v>299</v>
      </c>
      <c r="E33" s="58">
        <v>39</v>
      </c>
      <c r="F33" s="58">
        <v>65</v>
      </c>
      <c r="G33" s="53">
        <v>104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/>
      <c r="D34" s="53">
        <v>294</v>
      </c>
      <c r="E34" s="58">
        <v>41</v>
      </c>
      <c r="F34" s="58">
        <v>67</v>
      </c>
      <c r="G34" s="53">
        <v>108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/>
      <c r="D35" s="53">
        <v>294</v>
      </c>
      <c r="E35" s="58">
        <v>41</v>
      </c>
      <c r="F35" s="58">
        <v>65</v>
      </c>
      <c r="G35" s="53">
        <v>106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/>
      <c r="D36" s="53">
        <v>293</v>
      </c>
      <c r="E36" s="58">
        <v>41</v>
      </c>
      <c r="F36" s="58">
        <v>67</v>
      </c>
      <c r="G36" s="53">
        <v>108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/>
      <c r="D37" s="58">
        <v>294</v>
      </c>
      <c r="E37" s="58">
        <v>43</v>
      </c>
      <c r="F37" s="58">
        <v>65</v>
      </c>
      <c r="G37" s="58">
        <v>108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/>
      <c r="D38" s="58">
        <v>291</v>
      </c>
      <c r="E38" s="58">
        <v>43</v>
      </c>
      <c r="F38" s="58">
        <v>67</v>
      </c>
      <c r="G38" s="58">
        <v>110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/>
      <c r="D39" s="58">
        <v>290</v>
      </c>
      <c r="E39" s="58">
        <v>44</v>
      </c>
      <c r="F39" s="58">
        <v>68</v>
      </c>
      <c r="G39" s="58">
        <v>112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/>
      <c r="D40" s="58">
        <v>290</v>
      </c>
      <c r="E40" s="58">
        <v>45</v>
      </c>
      <c r="F40" s="58">
        <v>72</v>
      </c>
      <c r="G40" s="58">
        <v>117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/>
      <c r="D41" s="58">
        <v>302</v>
      </c>
      <c r="E41" s="58"/>
      <c r="F41" s="58" t="s">
        <v>50</v>
      </c>
      <c r="G41" s="58">
        <v>127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/>
      <c r="D42" s="58">
        <v>273</v>
      </c>
      <c r="E42" s="58"/>
      <c r="F42" s="58" t="s">
        <v>50</v>
      </c>
      <c r="G42" s="58">
        <v>125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/>
      <c r="D43" s="57">
        <v>275</v>
      </c>
      <c r="E43" s="57"/>
      <c r="F43" s="57" t="s">
        <v>50</v>
      </c>
      <c r="G43" s="57">
        <v>128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/>
      <c r="H44" s="11"/>
      <c r="I44" s="11"/>
      <c r="J44" s="11"/>
      <c r="K44" s="11"/>
      <c r="L44" s="11"/>
      <c r="M44" s="1"/>
      <c r="N44" s="1"/>
      <c r="O44" s="1" t="s">
        <v>26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/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/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/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/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/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/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/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/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/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/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/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/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/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/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/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/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/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/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/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/>
      <c r="H64" s="11"/>
      <c r="I64" s="34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/>
      <c r="H65" s="11"/>
      <c r="I65" s="34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/>
      <c r="H66" s="11"/>
      <c r="I66" s="34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35"/>
      <c r="H67" s="11"/>
      <c r="I67" s="34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/>
      <c r="H68" s="11"/>
      <c r="I68" s="34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35"/>
      <c r="H69" s="11"/>
      <c r="I69" s="34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/>
      <c r="H70" s="11"/>
      <c r="I70" s="34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35"/>
      <c r="H71" s="11"/>
      <c r="I71" s="34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35"/>
      <c r="H72" s="11"/>
      <c r="I72" s="34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/>
      <c r="H73" s="11"/>
      <c r="I73" s="34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/>
      <c r="H74" s="11"/>
      <c r="I74" s="34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/>
      <c r="H75" s="11"/>
      <c r="I75" s="34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/>
      <c r="H76" s="11"/>
      <c r="I76" s="34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/>
      <c r="H77" s="11"/>
      <c r="I77" s="34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/>
      <c r="H78" s="11"/>
      <c r="I78" s="34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/>
      <c r="H79" s="11"/>
      <c r="I79" s="34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/>
      <c r="H80" s="11"/>
      <c r="I80" s="34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/>
      <c r="H81" s="11"/>
      <c r="I81" s="34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/>
      <c r="H82" s="11"/>
      <c r="I82" s="34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/>
      <c r="H83" s="11"/>
      <c r="I83" s="34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/>
      <c r="D84" s="38"/>
      <c r="E84" s="10"/>
      <c r="F84" s="10"/>
      <c r="G84" s="38"/>
      <c r="H84" s="11"/>
      <c r="I84" s="34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/>
      <c r="D85" s="38"/>
      <c r="E85" s="10"/>
      <c r="F85" s="10"/>
      <c r="G85" s="38"/>
      <c r="H85" s="11"/>
      <c r="I85" s="34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35"/>
      <c r="D86" s="36"/>
      <c r="E86" s="37"/>
      <c r="F86" s="37"/>
      <c r="G86" s="36"/>
      <c r="H86" s="11"/>
      <c r="I86" s="34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D87" s="39"/>
      <c r="E87" s="8"/>
      <c r="F87" s="8"/>
      <c r="G87" s="8"/>
      <c r="H87" s="11"/>
      <c r="I87" s="34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D88" s="39"/>
      <c r="E88" s="8"/>
      <c r="F88" s="8"/>
      <c r="G88" s="8"/>
      <c r="H88" s="11"/>
      <c r="I88" s="40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D89" s="39"/>
      <c r="E89" s="8"/>
      <c r="F89" s="8"/>
      <c r="G89" s="8"/>
      <c r="H89" s="11"/>
      <c r="I89" s="40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D90" s="39"/>
      <c r="E90" s="8"/>
      <c r="F90" s="8"/>
      <c r="G90" s="8"/>
      <c r="H90" s="11"/>
      <c r="I90" s="40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D91" s="41"/>
      <c r="E91" s="8"/>
      <c r="F91" s="8"/>
      <c r="G91" s="8"/>
      <c r="H91" s="11"/>
      <c r="I91" s="40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D92" s="39"/>
      <c r="E92" s="8"/>
      <c r="F92" s="8"/>
      <c r="G92" s="8"/>
      <c r="H92" s="11"/>
      <c r="I92" s="34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D93" s="39"/>
      <c r="E93" s="8"/>
      <c r="F93" s="8"/>
      <c r="G93" s="8"/>
      <c r="H93" s="11"/>
      <c r="I93" s="40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D94" s="41"/>
      <c r="E94" s="8"/>
      <c r="F94" s="8"/>
      <c r="G94" s="8"/>
      <c r="H94" s="11"/>
      <c r="I94" s="40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 s="41"/>
      <c r="E95" s="8"/>
      <c r="F95" s="8"/>
      <c r="G95" s="8"/>
      <c r="H95" s="11"/>
      <c r="I95" s="34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 s="41"/>
      <c r="E96" s="8"/>
      <c r="F96" s="8"/>
      <c r="G96" s="8"/>
      <c r="H96" s="11"/>
      <c r="I96" s="34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4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ime_x000d__x000a__x000d__x000a_TBL_HST[TIME]" sqref="C4:C86" xr:uid="{72E7366F-9700-4084-9E8A-4113469A8127}"/>
    <dataValidation allowBlank="1" showInputMessage="1" showErrorMessage="1" prompt="TBL_HST[CH1]" sqref="D4:D86" xr:uid="{E3768BB4-A04F-48D5-8F1D-6DA62EFF2FB8}"/>
    <dataValidation allowBlank="1" showInputMessage="1" showErrorMessage="1" prompt="TBL_HST[CH4]" sqref="G4:G86" xr:uid="{C7E524A3-C066-41BC-B80D-06F97E41E7D4}"/>
    <dataValidation allowBlank="1" showInputMessage="1" showErrorMessage="1" prompt="TBL_HST[CH2]" sqref="E4:E86" xr:uid="{A71DD4BB-D5A5-4A26-8258-DBE32BE6FC80}"/>
    <dataValidation allowBlank="1" showInputMessage="1" showErrorMessage="1" prompt="TBL_HST[CH3]" sqref="F4:F86" xr:uid="{CC52B0F5-08A2-466D-8DA8-CA535CA6B9BD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8AF0F-6D16-4826-9299-0A59DCB19053}">
  <sheetPr codeName="Sheet17"/>
  <dimension ref="A1:AH2445"/>
  <sheetViews>
    <sheetView topLeftCell="B1" zoomScaleNormal="100" workbookViewId="0">
      <selection activeCell="J6" sqref="J6"/>
    </sheetView>
  </sheetViews>
  <sheetFormatPr defaultRowHeight="15" x14ac:dyDescent="0.25"/>
  <cols>
    <col min="1" max="1" width="9.140625" style="52"/>
    <col min="2" max="3" width="14.42578125" style="52" customWidth="1"/>
    <col min="4" max="4" width="13.5703125" style="52" customWidth="1"/>
    <col min="5" max="5" width="14.85546875" style="52" customWidth="1"/>
    <col min="6" max="6" width="12.7109375" style="52" customWidth="1"/>
    <col min="7" max="7" width="11.7109375" style="52" customWidth="1"/>
    <col min="8" max="8" width="9.140625" style="52"/>
    <col min="9" max="9" width="34" style="52" customWidth="1"/>
    <col min="10" max="10" width="20" style="52" customWidth="1"/>
    <col min="11" max="13" width="9.140625" style="52"/>
    <col min="14" max="16" width="9.140625" style="52" customWidth="1"/>
    <col min="17" max="16384" width="9.140625" style="52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54"/>
      <c r="D4" s="59">
        <v>19275</v>
      </c>
      <c r="E4" s="61">
        <v>27</v>
      </c>
      <c r="F4" s="61">
        <v>68</v>
      </c>
      <c r="G4" s="59">
        <v>95</v>
      </c>
      <c r="H4" s="11"/>
      <c r="I4" s="12" t="s">
        <v>8</v>
      </c>
      <c r="J4" s="13">
        <v>1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54"/>
      <c r="D5" s="59">
        <v>302</v>
      </c>
      <c r="E5" s="61" t="s">
        <v>50</v>
      </c>
      <c r="F5" s="61" t="s">
        <v>50</v>
      </c>
      <c r="G5" s="59">
        <v>95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54"/>
      <c r="D6" s="59">
        <v>306</v>
      </c>
      <c r="E6" s="61">
        <v>29</v>
      </c>
      <c r="F6" s="61">
        <v>65</v>
      </c>
      <c r="G6" s="59">
        <v>94</v>
      </c>
      <c r="H6" s="11"/>
      <c r="I6" s="15" t="s">
        <v>9</v>
      </c>
      <c r="J6" s="16" t="s">
        <v>52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54"/>
      <c r="D7" s="59">
        <v>308</v>
      </c>
      <c r="E7" s="61">
        <v>28</v>
      </c>
      <c r="F7" s="61">
        <v>64</v>
      </c>
      <c r="G7" s="59">
        <v>92</v>
      </c>
      <c r="H7" s="11"/>
      <c r="I7" s="17" t="s">
        <v>10</v>
      </c>
      <c r="J7" s="18">
        <v>12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54"/>
      <c r="D8" s="59">
        <v>307</v>
      </c>
      <c r="E8" s="61">
        <v>29</v>
      </c>
      <c r="F8" s="61">
        <v>65</v>
      </c>
      <c r="G8" s="59">
        <v>94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54"/>
      <c r="D9" s="59">
        <v>306</v>
      </c>
      <c r="E9" s="61">
        <v>28</v>
      </c>
      <c r="F9" s="61">
        <v>65</v>
      </c>
      <c r="G9" s="59">
        <v>93</v>
      </c>
      <c r="H9" s="11"/>
      <c r="I9" s="15" t="s">
        <v>11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54"/>
      <c r="D10" s="59">
        <v>308</v>
      </c>
      <c r="E10" s="61">
        <v>29</v>
      </c>
      <c r="F10" s="61">
        <v>66</v>
      </c>
      <c r="G10" s="59">
        <v>95</v>
      </c>
      <c r="H10" s="11"/>
      <c r="I10" s="17" t="s">
        <v>12</v>
      </c>
      <c r="J10" s="21" t="s">
        <v>13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54"/>
      <c r="D11" s="59">
        <v>305</v>
      </c>
      <c r="E11" s="61">
        <v>29</v>
      </c>
      <c r="F11" s="61">
        <v>66</v>
      </c>
      <c r="G11" s="59">
        <v>95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54"/>
      <c r="D12" s="59">
        <v>305</v>
      </c>
      <c r="E12" s="61">
        <v>30</v>
      </c>
      <c r="F12" s="61">
        <v>64</v>
      </c>
      <c r="G12" s="59">
        <v>94</v>
      </c>
      <c r="H12" s="11"/>
      <c r="I12" s="15" t="s">
        <v>14</v>
      </c>
      <c r="J12" s="16">
        <v>588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54"/>
      <c r="D13" s="59">
        <v>308</v>
      </c>
      <c r="E13" s="61">
        <v>29</v>
      </c>
      <c r="F13" s="61">
        <v>64</v>
      </c>
      <c r="G13" s="59">
        <v>93</v>
      </c>
      <c r="H13" s="11"/>
      <c r="I13" s="24" t="s">
        <v>15</v>
      </c>
      <c r="J13" s="25">
        <f>J12+J7</f>
        <v>600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54"/>
      <c r="D14" s="59">
        <v>305</v>
      </c>
      <c r="E14" s="61">
        <v>30</v>
      </c>
      <c r="F14" s="61">
        <v>64</v>
      </c>
      <c r="G14" s="59">
        <v>94</v>
      </c>
      <c r="H14" s="11"/>
      <c r="I14" s="24" t="s">
        <v>16</v>
      </c>
      <c r="J14" s="26">
        <v>597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54"/>
      <c r="D15" s="59">
        <v>306</v>
      </c>
      <c r="E15" s="61">
        <v>31</v>
      </c>
      <c r="F15" s="61">
        <v>64</v>
      </c>
      <c r="G15" s="59">
        <v>95</v>
      </c>
      <c r="H15" s="11"/>
      <c r="I15" s="17" t="s">
        <v>17</v>
      </c>
      <c r="J15" s="21">
        <f>J13-J14</f>
        <v>3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54"/>
      <c r="D16" s="59">
        <v>306</v>
      </c>
      <c r="E16" s="61">
        <v>31</v>
      </c>
      <c r="F16" s="61">
        <v>66</v>
      </c>
      <c r="G16" s="59">
        <v>97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54"/>
      <c r="D17" s="59">
        <v>304</v>
      </c>
      <c r="E17" s="61">
        <v>30</v>
      </c>
      <c r="F17" s="61">
        <v>68</v>
      </c>
      <c r="G17" s="59">
        <v>98</v>
      </c>
      <c r="H17" s="11"/>
      <c r="I17" s="15" t="s">
        <v>18</v>
      </c>
      <c r="J17" s="16">
        <v>52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54"/>
      <c r="D18" s="59">
        <v>301</v>
      </c>
      <c r="E18" s="61">
        <v>32</v>
      </c>
      <c r="F18" s="61">
        <v>64</v>
      </c>
      <c r="G18" s="59">
        <v>96</v>
      </c>
      <c r="H18" s="11"/>
      <c r="I18" s="24" t="s">
        <v>19</v>
      </c>
      <c r="J18" s="25">
        <v>50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54"/>
      <c r="D19" s="59">
        <v>306</v>
      </c>
      <c r="E19" s="61">
        <v>31</v>
      </c>
      <c r="F19" s="61">
        <v>64</v>
      </c>
      <c r="G19" s="59">
        <v>95</v>
      </c>
      <c r="H19" s="11"/>
      <c r="I19" s="24" t="s">
        <v>20</v>
      </c>
      <c r="J19" s="25">
        <v>41.3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6.5" x14ac:dyDescent="0.25">
      <c r="A20" s="1"/>
      <c r="B20" s="8">
        <f t="shared" si="0"/>
        <v>17</v>
      </c>
      <c r="C20" s="54"/>
      <c r="D20" s="59">
        <v>304</v>
      </c>
      <c r="E20" s="61">
        <v>31</v>
      </c>
      <c r="F20" s="61">
        <v>64</v>
      </c>
      <c r="G20" s="59">
        <v>95</v>
      </c>
      <c r="H20" s="11"/>
      <c r="I20" s="29" t="s">
        <v>28</v>
      </c>
      <c r="J20" s="30">
        <f>J18-J19</f>
        <v>8.7000000000000028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54"/>
      <c r="D21" s="59">
        <v>306</v>
      </c>
      <c r="E21" s="61">
        <v>32</v>
      </c>
      <c r="F21" s="61">
        <v>65</v>
      </c>
      <c r="G21" s="59">
        <v>97</v>
      </c>
      <c r="H21" s="11"/>
      <c r="I21" s="31"/>
      <c r="J21" s="32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54"/>
      <c r="D22" s="59">
        <v>302</v>
      </c>
      <c r="E22" s="61">
        <v>31</v>
      </c>
      <c r="F22" s="61">
        <v>66</v>
      </c>
      <c r="G22" s="59">
        <v>97</v>
      </c>
      <c r="H22" s="11"/>
      <c r="I22" s="15" t="s">
        <v>21</v>
      </c>
      <c r="J22" s="16">
        <f>COUNT(G4:G80)</f>
        <v>39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54"/>
      <c r="D23" s="59">
        <v>302</v>
      </c>
      <c r="E23" s="61">
        <v>32</v>
      </c>
      <c r="F23" s="61">
        <v>65</v>
      </c>
      <c r="G23" s="59">
        <v>97</v>
      </c>
      <c r="H23" s="11"/>
      <c r="I23" s="17" t="s">
        <v>22</v>
      </c>
      <c r="J23" s="21">
        <f>J15/J22</f>
        <v>7.6923076923076927E-2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54"/>
      <c r="D24" s="59">
        <v>304</v>
      </c>
      <c r="E24" s="61">
        <v>32</v>
      </c>
      <c r="F24" s="61">
        <v>66</v>
      </c>
      <c r="G24" s="59">
        <v>98</v>
      </c>
      <c r="H24" s="11"/>
      <c r="I24" s="14"/>
      <c r="J24" s="33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54"/>
      <c r="D25" s="59">
        <v>302</v>
      </c>
      <c r="E25" s="61">
        <v>33</v>
      </c>
      <c r="F25" s="61">
        <v>64</v>
      </c>
      <c r="G25" s="59">
        <v>97</v>
      </c>
      <c r="H25" s="11"/>
      <c r="I25" s="15" t="s">
        <v>23</v>
      </c>
      <c r="J25" s="16">
        <f>AVERAGE(E4:E1048576)</f>
        <v>32.542857142857144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54"/>
      <c r="D26" s="59">
        <v>301</v>
      </c>
      <c r="E26" s="61">
        <v>33</v>
      </c>
      <c r="F26" s="61">
        <v>64</v>
      </c>
      <c r="G26" s="59">
        <v>97</v>
      </c>
      <c r="H26" s="11"/>
      <c r="I26" s="24" t="s">
        <v>24</v>
      </c>
      <c r="J26" s="25">
        <f>AVERAGE(F4:F1048576)</f>
        <v>64.628571428571433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54"/>
      <c r="D27" s="59">
        <v>305</v>
      </c>
      <c r="E27" s="61">
        <v>33</v>
      </c>
      <c r="F27" s="61">
        <v>65</v>
      </c>
      <c r="G27" s="59">
        <v>98</v>
      </c>
      <c r="H27" s="11"/>
      <c r="I27" s="17" t="s">
        <v>25</v>
      </c>
      <c r="J27" s="21">
        <f>AVERAGE(D5:D1048576)</f>
        <v>302.63157894736844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54"/>
      <c r="D28" s="59">
        <v>302</v>
      </c>
      <c r="E28" s="61">
        <v>34</v>
      </c>
      <c r="F28" s="61">
        <v>64</v>
      </c>
      <c r="G28" s="59">
        <v>98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54"/>
      <c r="D29" s="59">
        <v>300</v>
      </c>
      <c r="E29" s="61">
        <v>34</v>
      </c>
      <c r="F29" s="61">
        <v>65</v>
      </c>
      <c r="G29" s="59">
        <v>99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54"/>
      <c r="D30" s="59">
        <v>303</v>
      </c>
      <c r="E30" s="61">
        <v>34</v>
      </c>
      <c r="F30" s="61">
        <v>65</v>
      </c>
      <c r="G30" s="59">
        <v>99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54"/>
      <c r="D31" s="59">
        <v>301</v>
      </c>
      <c r="E31" s="61">
        <v>35</v>
      </c>
      <c r="F31" s="61">
        <v>62</v>
      </c>
      <c r="G31" s="59">
        <v>97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54"/>
      <c r="D32" s="59">
        <v>301</v>
      </c>
      <c r="E32" s="61">
        <v>36</v>
      </c>
      <c r="F32" s="61">
        <v>63</v>
      </c>
      <c r="G32" s="59">
        <v>99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54"/>
      <c r="D33" s="59">
        <v>304</v>
      </c>
      <c r="E33" s="61">
        <v>36</v>
      </c>
      <c r="F33" s="61">
        <v>64</v>
      </c>
      <c r="G33" s="59">
        <v>100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54"/>
      <c r="D34" s="59">
        <v>299</v>
      </c>
      <c r="E34" s="61">
        <v>37</v>
      </c>
      <c r="F34" s="61">
        <v>63</v>
      </c>
      <c r="G34" s="59">
        <v>100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54"/>
      <c r="D35" s="59">
        <v>298</v>
      </c>
      <c r="E35" s="61">
        <v>37</v>
      </c>
      <c r="F35" s="61">
        <v>65</v>
      </c>
      <c r="G35" s="59">
        <v>102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54"/>
      <c r="D36" s="61">
        <v>301</v>
      </c>
      <c r="E36" s="61">
        <v>37</v>
      </c>
      <c r="F36" s="61">
        <v>64</v>
      </c>
      <c r="G36" s="61">
        <v>101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54"/>
      <c r="D37" s="61">
        <v>298</v>
      </c>
      <c r="E37" s="61">
        <v>39</v>
      </c>
      <c r="F37" s="61">
        <v>64</v>
      </c>
      <c r="G37" s="61">
        <v>103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54"/>
      <c r="D38" s="61">
        <v>298</v>
      </c>
      <c r="E38" s="61">
        <v>39</v>
      </c>
      <c r="F38" s="61">
        <v>63</v>
      </c>
      <c r="G38" s="61">
        <v>102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54"/>
      <c r="D39" s="61">
        <v>299</v>
      </c>
      <c r="E39" s="61">
        <v>41</v>
      </c>
      <c r="F39" s="61">
        <v>64</v>
      </c>
      <c r="G39" s="61">
        <v>105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54"/>
      <c r="D40" s="61">
        <v>294</v>
      </c>
      <c r="E40" s="61" t="s">
        <v>50</v>
      </c>
      <c r="F40" s="61" t="s">
        <v>50</v>
      </c>
      <c r="G40" s="61">
        <v>104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54"/>
      <c r="D41" s="61">
        <v>296</v>
      </c>
      <c r="E41" s="61" t="s">
        <v>50</v>
      </c>
      <c r="F41" s="61" t="s">
        <v>50</v>
      </c>
      <c r="G41" s="61">
        <v>105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54"/>
      <c r="D42" s="60">
        <v>297</v>
      </c>
      <c r="E42" s="60" t="s">
        <v>50</v>
      </c>
      <c r="F42" s="60" t="s">
        <v>50</v>
      </c>
      <c r="G42" s="60">
        <v>108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54"/>
      <c r="D43" s="57"/>
      <c r="E43" s="57"/>
      <c r="F43" s="57"/>
      <c r="G43" s="57"/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54"/>
      <c r="H44" s="11"/>
      <c r="I44" s="11"/>
      <c r="J44" s="11"/>
      <c r="K44" s="11"/>
      <c r="L44" s="11"/>
      <c r="M44" s="1"/>
      <c r="N44" s="1"/>
      <c r="O44" s="1" t="s">
        <v>26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54"/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54"/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54"/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54"/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54"/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54"/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54"/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54"/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54"/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54"/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54"/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54"/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54"/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54"/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54"/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54"/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54"/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54"/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54"/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54"/>
      <c r="H64" s="11"/>
      <c r="I64" s="34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54"/>
      <c r="H65" s="11"/>
      <c r="I65" s="34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54"/>
      <c r="H66" s="11"/>
      <c r="I66" s="34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55"/>
      <c r="H67" s="11"/>
      <c r="I67" s="34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54"/>
      <c r="H68" s="11"/>
      <c r="I68" s="34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55"/>
      <c r="H69" s="11"/>
      <c r="I69" s="34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54"/>
      <c r="H70" s="11"/>
      <c r="I70" s="34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55"/>
      <c r="H71" s="11"/>
      <c r="I71" s="34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55"/>
      <c r="H72" s="11"/>
      <c r="I72" s="34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54"/>
      <c r="H73" s="11"/>
      <c r="I73" s="34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54"/>
      <c r="H74" s="11"/>
      <c r="I74" s="34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54"/>
      <c r="H75" s="11"/>
      <c r="I75" s="34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54"/>
      <c r="H76" s="11"/>
      <c r="I76" s="34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54"/>
      <c r="H77" s="11"/>
      <c r="I77" s="34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54"/>
      <c r="H78" s="11"/>
      <c r="I78" s="34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54"/>
      <c r="H79" s="11"/>
      <c r="I79" s="34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54"/>
      <c r="H80" s="11"/>
      <c r="I80" s="34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54"/>
      <c r="H81" s="11"/>
      <c r="I81" s="34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54"/>
      <c r="H82" s="11"/>
      <c r="I82" s="34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54"/>
      <c r="H83" s="11"/>
      <c r="I83" s="34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54"/>
      <c r="D84" s="53"/>
      <c r="E84" s="58"/>
      <c r="F84" s="58"/>
      <c r="G84" s="53"/>
      <c r="H84" s="11"/>
      <c r="I84" s="34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54"/>
      <c r="D85" s="53"/>
      <c r="E85" s="58"/>
      <c r="F85" s="58"/>
      <c r="G85" s="53"/>
      <c r="H85" s="11"/>
      <c r="I85" s="34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55"/>
      <c r="D86" s="56"/>
      <c r="E86" s="57"/>
      <c r="F86" s="57"/>
      <c r="G86" s="56"/>
      <c r="H86" s="11"/>
      <c r="I86" s="34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D87" s="39"/>
      <c r="E87" s="8"/>
      <c r="F87" s="8"/>
      <c r="G87" s="8"/>
      <c r="H87" s="11"/>
      <c r="I87" s="34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D88" s="39"/>
      <c r="E88" s="8"/>
      <c r="F88" s="8"/>
      <c r="G88" s="8"/>
      <c r="H88" s="11"/>
      <c r="I88" s="40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D89" s="39"/>
      <c r="E89" s="8"/>
      <c r="F89" s="8"/>
      <c r="G89" s="8"/>
      <c r="H89" s="11"/>
      <c r="I89" s="40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D90" s="39"/>
      <c r="E90" s="8"/>
      <c r="F90" s="8"/>
      <c r="G90" s="8"/>
      <c r="H90" s="11"/>
      <c r="I90" s="40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D91" s="41"/>
      <c r="E91" s="8"/>
      <c r="F91" s="8"/>
      <c r="G91" s="8"/>
      <c r="H91" s="11"/>
      <c r="I91" s="40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D92" s="39"/>
      <c r="E92" s="8"/>
      <c r="F92" s="8"/>
      <c r="G92" s="8"/>
      <c r="H92" s="11"/>
      <c r="I92" s="34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D93" s="39"/>
      <c r="E93" s="8"/>
      <c r="F93" s="8"/>
      <c r="G93" s="8"/>
      <c r="H93" s="11"/>
      <c r="I93" s="40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D94" s="41"/>
      <c r="E94" s="8"/>
      <c r="F94" s="8"/>
      <c r="G94" s="8"/>
      <c r="H94" s="11"/>
      <c r="I94" s="40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 s="41"/>
      <c r="E95" s="8"/>
      <c r="F95" s="8"/>
      <c r="G95" s="8"/>
      <c r="H95" s="11"/>
      <c r="I95" s="34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 s="41"/>
      <c r="E96" s="8"/>
      <c r="F96" s="8"/>
      <c r="G96" s="8"/>
      <c r="H96" s="11"/>
      <c r="I96" s="34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4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BL_HST[CH3]" sqref="F4:F86" xr:uid="{3F480777-A523-42A7-B9C1-A0C6EFAEAE25}"/>
    <dataValidation allowBlank="1" showInputMessage="1" showErrorMessage="1" prompt="TBL_HST[CH2]" sqref="E4:E86" xr:uid="{7C7B55FE-D980-4CC4-B8D6-6136A8E5D59E}"/>
    <dataValidation allowBlank="1" showInputMessage="1" showErrorMessage="1" prompt="TBL_HST[CH4]" sqref="G4:G86" xr:uid="{6DFCE18A-8E79-4727-89A2-C6914EAEB341}"/>
    <dataValidation allowBlank="1" showInputMessage="1" showErrorMessage="1" prompt="TBL_HST[CH1]" sqref="D4:D86" xr:uid="{644D7D10-2E8E-403B-A6B5-E1BD8CA5DE68}"/>
    <dataValidation allowBlank="1" showInputMessage="1" showErrorMessage="1" prompt="Time_x000d__x000a__x000d__x000a_TBL_HST[TIME]" sqref="C4:C86" xr:uid="{48C2D85B-D40E-4541-9CA8-323752BCFB67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6E554-8BF2-4563-A8B6-B56DCF271D9A}">
  <sheetPr codeName="Sheet18"/>
  <dimension ref="A1:AH2445"/>
  <sheetViews>
    <sheetView topLeftCell="B1" zoomScaleNormal="100" workbookViewId="0">
      <selection activeCell="J6" sqref="J6"/>
    </sheetView>
  </sheetViews>
  <sheetFormatPr defaultRowHeight="15" x14ac:dyDescent="0.25"/>
  <cols>
    <col min="1" max="1" width="9.140625" style="52"/>
    <col min="2" max="3" width="14.42578125" style="52" customWidth="1"/>
    <col min="4" max="4" width="13.5703125" style="52" customWidth="1"/>
    <col min="5" max="5" width="14.85546875" style="52" customWidth="1"/>
    <col min="6" max="6" width="12.7109375" style="52" customWidth="1"/>
    <col min="7" max="7" width="11.7109375" style="52" customWidth="1"/>
    <col min="8" max="8" width="9.140625" style="52"/>
    <col min="9" max="9" width="34" style="52" customWidth="1"/>
    <col min="10" max="10" width="20" style="52" customWidth="1"/>
    <col min="11" max="13" width="9.140625" style="52"/>
    <col min="14" max="16" width="9.140625" style="52" customWidth="1"/>
    <col min="17" max="16384" width="9.140625" style="52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54"/>
      <c r="D4" s="63">
        <v>9818</v>
      </c>
      <c r="E4" s="66">
        <v>29</v>
      </c>
      <c r="F4" s="66">
        <v>68</v>
      </c>
      <c r="G4" s="63">
        <v>97</v>
      </c>
      <c r="H4" s="11"/>
      <c r="I4" s="12" t="s">
        <v>8</v>
      </c>
      <c r="J4" s="13">
        <v>1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54"/>
      <c r="D5" s="63">
        <v>303</v>
      </c>
      <c r="E5" s="66">
        <v>30</v>
      </c>
      <c r="F5" s="66">
        <v>65</v>
      </c>
      <c r="G5" s="63">
        <v>95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54"/>
      <c r="D6" s="63">
        <v>306</v>
      </c>
      <c r="E6" s="66">
        <v>28</v>
      </c>
      <c r="F6" s="66">
        <v>65</v>
      </c>
      <c r="G6" s="63">
        <v>93</v>
      </c>
      <c r="H6" s="11"/>
      <c r="I6" s="15" t="s">
        <v>9</v>
      </c>
      <c r="J6" s="16" t="s">
        <v>52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54"/>
      <c r="D7" s="63">
        <v>306</v>
      </c>
      <c r="E7" s="66">
        <v>30</v>
      </c>
      <c r="F7" s="66">
        <v>66</v>
      </c>
      <c r="G7" s="63">
        <v>96</v>
      </c>
      <c r="H7" s="11"/>
      <c r="I7" s="17" t="s">
        <v>10</v>
      </c>
      <c r="J7" s="18">
        <v>12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54"/>
      <c r="D8" s="63">
        <v>305</v>
      </c>
      <c r="E8" s="66">
        <v>30</v>
      </c>
      <c r="F8" s="66">
        <v>66</v>
      </c>
      <c r="G8" s="63">
        <v>96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54"/>
      <c r="D9" s="63">
        <v>305</v>
      </c>
      <c r="E9" s="66">
        <v>29</v>
      </c>
      <c r="F9" s="66">
        <v>65</v>
      </c>
      <c r="G9" s="63">
        <v>94</v>
      </c>
      <c r="H9" s="11"/>
      <c r="I9" s="15" t="s">
        <v>11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54"/>
      <c r="D10" s="63">
        <v>305</v>
      </c>
      <c r="E10" s="66">
        <v>30</v>
      </c>
      <c r="F10" s="66">
        <v>65</v>
      </c>
      <c r="G10" s="63">
        <v>95</v>
      </c>
      <c r="H10" s="11"/>
      <c r="I10" s="17" t="s">
        <v>12</v>
      </c>
      <c r="J10" s="21" t="s">
        <v>13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54"/>
      <c r="D11" s="63">
        <v>305</v>
      </c>
      <c r="E11" s="66">
        <v>31</v>
      </c>
      <c r="F11" s="66">
        <v>65</v>
      </c>
      <c r="G11" s="63">
        <v>96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54"/>
      <c r="D12" s="63">
        <v>305</v>
      </c>
      <c r="E12" s="66">
        <v>30</v>
      </c>
      <c r="F12" s="66">
        <v>64</v>
      </c>
      <c r="G12" s="63">
        <v>94</v>
      </c>
      <c r="H12" s="11"/>
      <c r="I12" s="15" t="s">
        <v>14</v>
      </c>
      <c r="J12" s="16">
        <v>588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54"/>
      <c r="D13" s="63">
        <v>307</v>
      </c>
      <c r="E13" s="66">
        <v>31</v>
      </c>
      <c r="F13" s="66">
        <v>64</v>
      </c>
      <c r="G13" s="63">
        <v>95</v>
      </c>
      <c r="H13" s="11"/>
      <c r="I13" s="24" t="s">
        <v>15</v>
      </c>
      <c r="J13" s="25">
        <f>J12+J7</f>
        <v>600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54"/>
      <c r="D14" s="63">
        <v>304</v>
      </c>
      <c r="E14" s="66">
        <v>31</v>
      </c>
      <c r="F14" s="66">
        <v>65</v>
      </c>
      <c r="G14" s="63">
        <v>96</v>
      </c>
      <c r="H14" s="11"/>
      <c r="I14" s="24" t="s">
        <v>16</v>
      </c>
      <c r="J14" s="26">
        <v>596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54"/>
      <c r="D15" s="63">
        <v>304</v>
      </c>
      <c r="E15" s="66">
        <v>32</v>
      </c>
      <c r="F15" s="66">
        <v>64</v>
      </c>
      <c r="G15" s="63">
        <v>96</v>
      </c>
      <c r="H15" s="11"/>
      <c r="I15" s="17" t="s">
        <v>17</v>
      </c>
      <c r="J15" s="21">
        <f>J13-J14</f>
        <v>4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54"/>
      <c r="D16" s="63">
        <v>305</v>
      </c>
      <c r="E16" s="66">
        <v>31</v>
      </c>
      <c r="F16" s="66">
        <v>66</v>
      </c>
      <c r="G16" s="63">
        <v>97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54"/>
      <c r="D17" s="63">
        <v>303</v>
      </c>
      <c r="E17" s="66">
        <v>31</v>
      </c>
      <c r="F17" s="66">
        <v>65</v>
      </c>
      <c r="G17" s="63">
        <v>96</v>
      </c>
      <c r="H17" s="11"/>
      <c r="I17" s="15" t="s">
        <v>18</v>
      </c>
      <c r="J17" s="16">
        <v>52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54"/>
      <c r="D18" s="63">
        <v>303</v>
      </c>
      <c r="E18" s="66">
        <v>32</v>
      </c>
      <c r="F18" s="66">
        <v>64</v>
      </c>
      <c r="G18" s="63">
        <v>96</v>
      </c>
      <c r="H18" s="11"/>
      <c r="I18" s="24" t="s">
        <v>19</v>
      </c>
      <c r="J18" s="25">
        <v>50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54"/>
      <c r="D19" s="63">
        <v>305</v>
      </c>
      <c r="E19" s="66">
        <v>31</v>
      </c>
      <c r="F19" s="66">
        <v>65</v>
      </c>
      <c r="G19" s="63">
        <v>96</v>
      </c>
      <c r="H19" s="11"/>
      <c r="I19" s="24" t="s">
        <v>20</v>
      </c>
      <c r="J19" s="25">
        <v>40.1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6.5" x14ac:dyDescent="0.25">
      <c r="A20" s="1"/>
      <c r="B20" s="8">
        <f t="shared" si="0"/>
        <v>17</v>
      </c>
      <c r="C20" s="54"/>
      <c r="D20" s="63">
        <v>304</v>
      </c>
      <c r="E20" s="66">
        <v>33</v>
      </c>
      <c r="F20" s="66">
        <v>65</v>
      </c>
      <c r="G20" s="63">
        <v>98</v>
      </c>
      <c r="H20" s="11"/>
      <c r="I20" s="29" t="s">
        <v>28</v>
      </c>
      <c r="J20" s="30">
        <f>J18-J19</f>
        <v>9.8999999999999986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54"/>
      <c r="D21" s="63">
        <v>302</v>
      </c>
      <c r="E21" s="66">
        <v>33</v>
      </c>
      <c r="F21" s="66">
        <v>65</v>
      </c>
      <c r="G21" s="63">
        <v>98</v>
      </c>
      <c r="H21" s="11"/>
      <c r="I21" s="31"/>
      <c r="J21" s="32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54"/>
      <c r="D22" s="63">
        <v>303</v>
      </c>
      <c r="E22" s="66">
        <v>32</v>
      </c>
      <c r="F22" s="66">
        <v>65</v>
      </c>
      <c r="G22" s="63">
        <v>97</v>
      </c>
      <c r="H22" s="11"/>
      <c r="I22" s="15" t="s">
        <v>21</v>
      </c>
      <c r="J22" s="16">
        <f>COUNT(G4:G80)</f>
        <v>37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54"/>
      <c r="D23" s="63">
        <v>301</v>
      </c>
      <c r="E23" s="66">
        <v>34</v>
      </c>
      <c r="F23" s="66">
        <v>63</v>
      </c>
      <c r="G23" s="63">
        <v>97</v>
      </c>
      <c r="H23" s="11"/>
      <c r="I23" s="17" t="s">
        <v>22</v>
      </c>
      <c r="J23" s="21">
        <f>J15/J22</f>
        <v>0.10810810810810811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54"/>
      <c r="D24" s="63">
        <v>304</v>
      </c>
      <c r="E24" s="66" t="s">
        <v>50</v>
      </c>
      <c r="F24" s="66" t="s">
        <v>50</v>
      </c>
      <c r="G24" s="63">
        <v>97</v>
      </c>
      <c r="H24" s="11"/>
      <c r="I24" s="14"/>
      <c r="J24" s="33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54"/>
      <c r="D25" s="63">
        <v>303</v>
      </c>
      <c r="E25" s="66">
        <v>35</v>
      </c>
      <c r="F25" s="66">
        <v>63</v>
      </c>
      <c r="G25" s="63">
        <v>98</v>
      </c>
      <c r="H25" s="11"/>
      <c r="I25" s="15" t="s">
        <v>23</v>
      </c>
      <c r="J25" s="16">
        <f>AVERAGE(E4:E1048576)</f>
        <v>33.0625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54"/>
      <c r="D26" s="63">
        <v>301</v>
      </c>
      <c r="E26" s="66">
        <v>35</v>
      </c>
      <c r="F26" s="66">
        <v>63</v>
      </c>
      <c r="G26" s="63">
        <v>98</v>
      </c>
      <c r="H26" s="11"/>
      <c r="I26" s="24" t="s">
        <v>24</v>
      </c>
      <c r="J26" s="25">
        <f>AVERAGE(F4:F1048576)</f>
        <v>64.5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54"/>
      <c r="D27" s="63">
        <v>303</v>
      </c>
      <c r="E27" s="66">
        <v>35</v>
      </c>
      <c r="F27" s="66">
        <v>64</v>
      </c>
      <c r="G27" s="63">
        <v>99</v>
      </c>
      <c r="H27" s="11"/>
      <c r="I27" s="17" t="s">
        <v>25</v>
      </c>
      <c r="J27" s="21">
        <f>AVERAGE(D5:D1048576)</f>
        <v>301.94444444444446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54"/>
      <c r="D28" s="63">
        <v>300</v>
      </c>
      <c r="E28" s="66">
        <v>36</v>
      </c>
      <c r="F28" s="66">
        <v>64</v>
      </c>
      <c r="G28" s="63">
        <v>100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54"/>
      <c r="D29" s="63">
        <v>299</v>
      </c>
      <c r="E29" s="66">
        <v>35</v>
      </c>
      <c r="F29" s="66">
        <v>63</v>
      </c>
      <c r="G29" s="63">
        <v>98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54"/>
      <c r="D30" s="63">
        <v>304</v>
      </c>
      <c r="E30" s="66">
        <v>35</v>
      </c>
      <c r="F30" s="66">
        <v>64</v>
      </c>
      <c r="G30" s="63">
        <v>99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54"/>
      <c r="D31" s="63">
        <v>300</v>
      </c>
      <c r="E31" s="66">
        <v>36</v>
      </c>
      <c r="F31" s="66">
        <v>63</v>
      </c>
      <c r="G31" s="63">
        <v>99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54"/>
      <c r="D32" s="63">
        <v>300</v>
      </c>
      <c r="E32" s="66">
        <v>37</v>
      </c>
      <c r="F32" s="66">
        <v>64</v>
      </c>
      <c r="G32" s="63">
        <v>101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54"/>
      <c r="D33" s="63">
        <v>301</v>
      </c>
      <c r="E33" s="66">
        <v>38</v>
      </c>
      <c r="F33" s="66">
        <v>63</v>
      </c>
      <c r="G33" s="63">
        <v>101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54"/>
      <c r="D34" s="63">
        <v>298</v>
      </c>
      <c r="E34" s="66">
        <v>39</v>
      </c>
      <c r="F34" s="66">
        <v>62</v>
      </c>
      <c r="G34" s="63">
        <v>101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54"/>
      <c r="D35" s="63">
        <v>300</v>
      </c>
      <c r="E35" s="66">
        <v>39</v>
      </c>
      <c r="F35" s="66">
        <v>65</v>
      </c>
      <c r="G35" s="63">
        <v>104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54"/>
      <c r="D36" s="63">
        <v>296</v>
      </c>
      <c r="E36" s="66" t="s">
        <v>50</v>
      </c>
      <c r="F36" s="66" t="s">
        <v>50</v>
      </c>
      <c r="G36" s="63">
        <v>102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54"/>
      <c r="D37" s="63">
        <v>298</v>
      </c>
      <c r="E37" s="66">
        <v>40</v>
      </c>
      <c r="F37" s="66">
        <v>66</v>
      </c>
      <c r="G37" s="63">
        <v>106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54"/>
      <c r="D38" s="63">
        <v>296</v>
      </c>
      <c r="E38" s="66" t="s">
        <v>50</v>
      </c>
      <c r="F38" s="66" t="s">
        <v>50</v>
      </c>
      <c r="G38" s="63">
        <v>106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54"/>
      <c r="D39" s="63">
        <v>293</v>
      </c>
      <c r="E39" s="66" t="s">
        <v>50</v>
      </c>
      <c r="F39" s="66" t="s">
        <v>50</v>
      </c>
      <c r="G39" s="63">
        <v>106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54"/>
      <c r="D40" s="63">
        <v>293</v>
      </c>
      <c r="E40" s="66" t="s">
        <v>50</v>
      </c>
      <c r="F40" s="66" t="s">
        <v>50</v>
      </c>
      <c r="G40" s="63">
        <v>105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54"/>
      <c r="D41" s="58"/>
      <c r="E41" s="58"/>
      <c r="F41" s="58"/>
      <c r="G41" s="58"/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54"/>
      <c r="D42" s="58"/>
      <c r="E42" s="58"/>
      <c r="F42" s="58"/>
      <c r="G42" s="58"/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54"/>
      <c r="D43" s="57"/>
      <c r="E43" s="57"/>
      <c r="F43" s="57"/>
      <c r="G43" s="57"/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54"/>
      <c r="H44" s="11"/>
      <c r="I44" s="11"/>
      <c r="J44" s="11"/>
      <c r="K44" s="11"/>
      <c r="L44" s="11"/>
      <c r="M44" s="1"/>
      <c r="N44" s="1"/>
      <c r="O44" s="1" t="s">
        <v>26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54"/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54"/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54"/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54"/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54"/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54"/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54"/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54"/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54"/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54"/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54"/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54"/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54"/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54"/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54"/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54"/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54"/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54"/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54"/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54"/>
      <c r="H64" s="11"/>
      <c r="I64" s="34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54"/>
      <c r="H65" s="11"/>
      <c r="I65" s="34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54"/>
      <c r="H66" s="11"/>
      <c r="I66" s="34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55"/>
      <c r="H67" s="11"/>
      <c r="I67" s="34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54"/>
      <c r="H68" s="11"/>
      <c r="I68" s="34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55"/>
      <c r="H69" s="11"/>
      <c r="I69" s="34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54"/>
      <c r="H70" s="11"/>
      <c r="I70" s="34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55"/>
      <c r="H71" s="11"/>
      <c r="I71" s="34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55"/>
      <c r="H72" s="11"/>
      <c r="I72" s="34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54"/>
      <c r="H73" s="11"/>
      <c r="I73" s="34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54"/>
      <c r="H74" s="11"/>
      <c r="I74" s="34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54"/>
      <c r="H75" s="11"/>
      <c r="I75" s="34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54"/>
      <c r="H76" s="11"/>
      <c r="I76" s="34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54"/>
      <c r="H77" s="11"/>
      <c r="I77" s="34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54"/>
      <c r="H78" s="11"/>
      <c r="I78" s="34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54"/>
      <c r="H79" s="11"/>
      <c r="I79" s="34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54"/>
      <c r="H80" s="11"/>
      <c r="I80" s="34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54"/>
      <c r="H81" s="11"/>
      <c r="I81" s="34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54"/>
      <c r="H82" s="11"/>
      <c r="I82" s="34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54"/>
      <c r="H83" s="11"/>
      <c r="I83" s="34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54"/>
      <c r="D84" s="53"/>
      <c r="E84" s="58"/>
      <c r="F84" s="58"/>
      <c r="G84" s="53"/>
      <c r="H84" s="11"/>
      <c r="I84" s="34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54"/>
      <c r="D85" s="53"/>
      <c r="E85" s="58"/>
      <c r="F85" s="58"/>
      <c r="G85" s="53"/>
      <c r="H85" s="11"/>
      <c r="I85" s="34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55"/>
      <c r="D86" s="56"/>
      <c r="E86" s="57"/>
      <c r="F86" s="57"/>
      <c r="G86" s="56"/>
      <c r="H86" s="11"/>
      <c r="I86" s="34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D87" s="39"/>
      <c r="E87" s="8"/>
      <c r="F87" s="8"/>
      <c r="G87" s="8"/>
      <c r="H87" s="11"/>
      <c r="I87" s="34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D88" s="39"/>
      <c r="E88" s="8"/>
      <c r="F88" s="8"/>
      <c r="G88" s="8"/>
      <c r="H88" s="11"/>
      <c r="I88" s="40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D89" s="39"/>
      <c r="E89" s="8"/>
      <c r="F89" s="8"/>
      <c r="G89" s="8"/>
      <c r="H89" s="11"/>
      <c r="I89" s="40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D90" s="39"/>
      <c r="E90" s="8"/>
      <c r="F90" s="8"/>
      <c r="G90" s="8"/>
      <c r="H90" s="11"/>
      <c r="I90" s="40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D91" s="41"/>
      <c r="E91" s="8"/>
      <c r="F91" s="8"/>
      <c r="G91" s="8"/>
      <c r="H91" s="11"/>
      <c r="I91" s="40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D92" s="39"/>
      <c r="E92" s="8"/>
      <c r="F92" s="8"/>
      <c r="G92" s="8"/>
      <c r="H92" s="11"/>
      <c r="I92" s="34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D93" s="39"/>
      <c r="E93" s="8"/>
      <c r="F93" s="8"/>
      <c r="G93" s="8"/>
      <c r="H93" s="11"/>
      <c r="I93" s="40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D94" s="41"/>
      <c r="E94" s="8"/>
      <c r="F94" s="8"/>
      <c r="G94" s="8"/>
      <c r="H94" s="11"/>
      <c r="I94" s="40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 s="41"/>
      <c r="E95" s="8"/>
      <c r="F95" s="8"/>
      <c r="G95" s="8"/>
      <c r="H95" s="11"/>
      <c r="I95" s="34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 s="41"/>
      <c r="E96" s="8"/>
      <c r="F96" s="8"/>
      <c r="G96" s="8"/>
      <c r="H96" s="11"/>
      <c r="I96" s="34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4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ime_x000d__x000a__x000d__x000a_TBL_HST[TIME]" sqref="C4:C86" xr:uid="{3DF4C331-2C6E-4A39-AE56-CDF7F8848B41}"/>
    <dataValidation allowBlank="1" showInputMessage="1" showErrorMessage="1" prompt="TBL_HST[CH1]" sqref="D4:D86" xr:uid="{BEC70387-E765-4D0E-AD86-FAD5D9D66948}"/>
    <dataValidation allowBlank="1" showInputMessage="1" showErrorMessage="1" prompt="TBL_HST[CH4]" sqref="G4:G86" xr:uid="{6CDD4D02-2FA9-49E9-ADC9-BCC7425448D5}"/>
    <dataValidation allowBlank="1" showInputMessage="1" showErrorMessage="1" prompt="TBL_HST[CH2]" sqref="E4:E86" xr:uid="{97F42600-2268-463C-BC63-E118C0E454A7}"/>
    <dataValidation allowBlank="1" showInputMessage="1" showErrorMessage="1" prompt="TBL_HST[CH3]" sqref="F4:F86" xr:uid="{5EA21684-5FA0-44AF-88F5-D259309993DC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7B1EC-A73F-43A0-A594-B6B087440B2A}">
  <dimension ref="C1:S102"/>
  <sheetViews>
    <sheetView workbookViewId="0">
      <selection activeCell="K29" sqref="K29"/>
    </sheetView>
  </sheetViews>
  <sheetFormatPr defaultRowHeight="15" x14ac:dyDescent="0.25"/>
  <cols>
    <col min="1" max="3" width="9.140625" style="52"/>
    <col min="4" max="4" width="15.5703125" style="52" customWidth="1"/>
    <col min="5" max="5" width="20" style="52" customWidth="1"/>
    <col min="6" max="6" width="23.28515625" style="52" customWidth="1"/>
    <col min="7" max="7" width="22.85546875" style="52" customWidth="1"/>
    <col min="8" max="8" width="19.42578125" style="52" customWidth="1"/>
    <col min="9" max="9" width="9.140625" style="52"/>
    <col min="10" max="10" width="13" style="52" customWidth="1"/>
    <col min="11" max="11" width="14.28515625" style="52" customWidth="1"/>
    <col min="12" max="12" width="13.5703125" style="52" customWidth="1"/>
    <col min="13" max="16384" width="9.140625" style="52"/>
  </cols>
  <sheetData>
    <row r="1" spans="3:11" ht="15.75" thickBot="1" x14ac:dyDescent="0.3"/>
    <row r="2" spans="3:11" ht="15.75" thickBot="1" x14ac:dyDescent="0.3">
      <c r="D2" s="50" t="s">
        <v>42</v>
      </c>
    </row>
    <row r="3" spans="3:11" x14ac:dyDescent="0.25">
      <c r="C3" s="47"/>
      <c r="D3" s="49" t="s">
        <v>43</v>
      </c>
      <c r="E3" s="48" t="s">
        <v>44</v>
      </c>
      <c r="F3" s="48" t="s">
        <v>45</v>
      </c>
    </row>
    <row r="4" spans="3:11" ht="15.75" x14ac:dyDescent="0.25">
      <c r="C4" s="47" t="s">
        <v>41</v>
      </c>
      <c r="D4" s="46" t="s">
        <v>5</v>
      </c>
      <c r="E4" s="46" t="s">
        <v>5</v>
      </c>
      <c r="F4" s="46" t="s">
        <v>5</v>
      </c>
      <c r="G4" s="46" t="s">
        <v>29</v>
      </c>
      <c r="H4" s="51" t="s">
        <v>46</v>
      </c>
      <c r="I4" s="51" t="s">
        <v>47</v>
      </c>
      <c r="K4" s="42" t="s">
        <v>30</v>
      </c>
    </row>
    <row r="5" spans="3:11" ht="16.5" x14ac:dyDescent="0.25">
      <c r="C5" s="52">
        <f>1</f>
        <v>1</v>
      </c>
      <c r="D5" s="58">
        <v>29</v>
      </c>
      <c r="E5" s="66">
        <v>27</v>
      </c>
      <c r="F5" s="66">
        <v>29</v>
      </c>
      <c r="G5" s="52">
        <f>AVERAGE(D5:F5)</f>
        <v>28.333333333333332</v>
      </c>
      <c r="I5" s="52" t="e">
        <f>AVERAGE(H5:H100)</f>
        <v>#DIV/0!</v>
      </c>
      <c r="J5" s="52">
        <v>1</v>
      </c>
      <c r="K5" s="43">
        <v>8.6999999999999993</v>
      </c>
    </row>
    <row r="6" spans="3:11" ht="16.5" x14ac:dyDescent="0.25">
      <c r="C6" s="52">
        <f>C5+1</f>
        <v>2</v>
      </c>
      <c r="D6" s="58">
        <v>30</v>
      </c>
      <c r="E6" s="66" t="s">
        <v>50</v>
      </c>
      <c r="F6" s="66">
        <v>30</v>
      </c>
      <c r="G6" s="62">
        <f t="shared" ref="G6:G41" si="0">AVERAGE(D6:F6)</f>
        <v>30</v>
      </c>
      <c r="J6" s="52">
        <v>2</v>
      </c>
      <c r="K6" s="44">
        <v>8.6999999999999993</v>
      </c>
    </row>
    <row r="7" spans="3:11" ht="16.5" x14ac:dyDescent="0.25">
      <c r="C7" s="52">
        <f t="shared" ref="C7:C70" si="1">C6+1</f>
        <v>3</v>
      </c>
      <c r="D7" s="58">
        <v>30</v>
      </c>
      <c r="E7" s="66">
        <v>29</v>
      </c>
      <c r="F7" s="66">
        <v>28</v>
      </c>
      <c r="G7" s="62">
        <f t="shared" si="0"/>
        <v>29</v>
      </c>
      <c r="J7" s="52">
        <v>3</v>
      </c>
      <c r="K7" s="44">
        <v>9.9</v>
      </c>
    </row>
    <row r="8" spans="3:11" ht="16.5" x14ac:dyDescent="0.25">
      <c r="C8" s="52">
        <f t="shared" si="1"/>
        <v>4</v>
      </c>
      <c r="D8" s="58">
        <v>30</v>
      </c>
      <c r="E8" s="66">
        <v>28</v>
      </c>
      <c r="F8" s="66">
        <v>30</v>
      </c>
      <c r="G8" s="62">
        <f t="shared" si="0"/>
        <v>29.333333333333332</v>
      </c>
      <c r="J8" s="42" t="s">
        <v>31</v>
      </c>
      <c r="K8" s="52">
        <f>AVERAGE(K5:K7)</f>
        <v>9.1</v>
      </c>
    </row>
    <row r="9" spans="3:11" ht="16.5" x14ac:dyDescent="0.25">
      <c r="C9" s="52">
        <f t="shared" si="1"/>
        <v>5</v>
      </c>
      <c r="D9" s="58"/>
      <c r="E9" s="66">
        <v>29</v>
      </c>
      <c r="F9" s="66">
        <v>30</v>
      </c>
      <c r="G9" s="62">
        <f t="shared" si="0"/>
        <v>29.5</v>
      </c>
    </row>
    <row r="10" spans="3:11" ht="16.5" x14ac:dyDescent="0.25">
      <c r="C10" s="52">
        <f t="shared" si="1"/>
        <v>6</v>
      </c>
      <c r="D10" s="58">
        <v>30</v>
      </c>
      <c r="E10" s="66">
        <v>28</v>
      </c>
      <c r="F10" s="66">
        <v>29</v>
      </c>
      <c r="G10" s="62">
        <f t="shared" si="0"/>
        <v>29</v>
      </c>
    </row>
    <row r="11" spans="3:11" ht="16.5" x14ac:dyDescent="0.25">
      <c r="C11" s="52">
        <f t="shared" si="1"/>
        <v>7</v>
      </c>
      <c r="D11" s="58">
        <v>31</v>
      </c>
      <c r="E11" s="66">
        <v>29</v>
      </c>
      <c r="F11" s="66">
        <v>30</v>
      </c>
      <c r="G11" s="62">
        <f t="shared" si="0"/>
        <v>30</v>
      </c>
      <c r="K11" s="42" t="s">
        <v>32</v>
      </c>
    </row>
    <row r="12" spans="3:11" ht="16.5" x14ac:dyDescent="0.25">
      <c r="C12" s="52">
        <f t="shared" si="1"/>
        <v>8</v>
      </c>
      <c r="D12" s="58">
        <v>30</v>
      </c>
      <c r="E12" s="66">
        <v>29</v>
      </c>
      <c r="F12" s="66">
        <v>31</v>
      </c>
      <c r="G12" s="62">
        <f t="shared" si="0"/>
        <v>30</v>
      </c>
      <c r="J12" s="52">
        <v>1</v>
      </c>
      <c r="K12" s="43">
        <v>40</v>
      </c>
    </row>
    <row r="13" spans="3:11" ht="16.5" x14ac:dyDescent="0.25">
      <c r="C13" s="52">
        <f t="shared" si="1"/>
        <v>9</v>
      </c>
      <c r="D13" s="58"/>
      <c r="E13" s="66">
        <v>30</v>
      </c>
      <c r="F13" s="66">
        <v>30</v>
      </c>
      <c r="G13" s="62">
        <f t="shared" si="0"/>
        <v>30</v>
      </c>
      <c r="J13" s="52">
        <v>2</v>
      </c>
      <c r="K13" s="44">
        <v>39</v>
      </c>
    </row>
    <row r="14" spans="3:11" ht="16.5" x14ac:dyDescent="0.25">
      <c r="C14" s="52">
        <f t="shared" si="1"/>
        <v>10</v>
      </c>
      <c r="D14" s="58">
        <v>30</v>
      </c>
      <c r="E14" s="66">
        <v>29</v>
      </c>
      <c r="F14" s="66">
        <v>31</v>
      </c>
      <c r="G14" s="62">
        <f t="shared" si="0"/>
        <v>30</v>
      </c>
      <c r="J14" s="52">
        <v>3</v>
      </c>
      <c r="K14" s="44">
        <v>37</v>
      </c>
    </row>
    <row r="15" spans="3:11" ht="16.5" x14ac:dyDescent="0.25">
      <c r="C15" s="52">
        <f t="shared" si="1"/>
        <v>11</v>
      </c>
      <c r="D15" s="58">
        <v>32</v>
      </c>
      <c r="E15" s="66">
        <v>30</v>
      </c>
      <c r="F15" s="66">
        <v>31</v>
      </c>
      <c r="G15" s="62">
        <f t="shared" si="0"/>
        <v>31</v>
      </c>
      <c r="J15" s="42" t="s">
        <v>33</v>
      </c>
      <c r="K15" s="52">
        <f>AVERAGE(K12:K14)</f>
        <v>38.666666666666664</v>
      </c>
    </row>
    <row r="16" spans="3:11" ht="16.5" x14ac:dyDescent="0.25">
      <c r="C16" s="52">
        <f t="shared" si="1"/>
        <v>12</v>
      </c>
      <c r="D16" s="58">
        <v>32</v>
      </c>
      <c r="E16" s="66">
        <v>31</v>
      </c>
      <c r="F16" s="66">
        <v>32</v>
      </c>
      <c r="G16" s="62">
        <f t="shared" si="0"/>
        <v>31.666666666666668</v>
      </c>
    </row>
    <row r="17" spans="3:11" ht="16.5" x14ac:dyDescent="0.25">
      <c r="C17" s="52">
        <f t="shared" si="1"/>
        <v>13</v>
      </c>
      <c r="D17" s="58"/>
      <c r="E17" s="66">
        <v>31</v>
      </c>
      <c r="F17" s="66">
        <v>31</v>
      </c>
      <c r="G17" s="62">
        <f t="shared" si="0"/>
        <v>31</v>
      </c>
    </row>
    <row r="18" spans="3:11" ht="16.5" x14ac:dyDescent="0.25">
      <c r="C18" s="52">
        <f t="shared" si="1"/>
        <v>14</v>
      </c>
      <c r="D18" s="58">
        <v>32</v>
      </c>
      <c r="E18" s="66">
        <v>30</v>
      </c>
      <c r="F18" s="66">
        <v>31</v>
      </c>
      <c r="G18" s="62">
        <f t="shared" si="0"/>
        <v>31</v>
      </c>
      <c r="K18" s="42" t="s">
        <v>34</v>
      </c>
    </row>
    <row r="19" spans="3:11" ht="16.5" x14ac:dyDescent="0.25">
      <c r="C19" s="52">
        <f t="shared" si="1"/>
        <v>15</v>
      </c>
      <c r="D19" s="58">
        <v>32</v>
      </c>
      <c r="E19" s="66">
        <v>32</v>
      </c>
      <c r="F19" s="66">
        <v>32</v>
      </c>
      <c r="G19" s="62">
        <f t="shared" si="0"/>
        <v>32</v>
      </c>
      <c r="J19" s="52">
        <v>1</v>
      </c>
      <c r="K19" s="43">
        <v>4</v>
      </c>
    </row>
    <row r="20" spans="3:11" ht="16.5" x14ac:dyDescent="0.25">
      <c r="C20" s="52">
        <f t="shared" si="1"/>
        <v>16</v>
      </c>
      <c r="D20" s="58">
        <v>33</v>
      </c>
      <c r="E20" s="66">
        <v>31</v>
      </c>
      <c r="F20" s="66">
        <v>31</v>
      </c>
      <c r="G20" s="62">
        <f t="shared" si="0"/>
        <v>31.666666666666668</v>
      </c>
      <c r="J20" s="52">
        <v>2</v>
      </c>
      <c r="K20" s="44">
        <v>3</v>
      </c>
    </row>
    <row r="21" spans="3:11" ht="16.5" x14ac:dyDescent="0.25">
      <c r="C21" s="52">
        <f t="shared" si="1"/>
        <v>17</v>
      </c>
      <c r="D21" s="58">
        <v>34</v>
      </c>
      <c r="E21" s="66">
        <v>31</v>
      </c>
      <c r="F21" s="66">
        <v>33</v>
      </c>
      <c r="G21" s="62">
        <f t="shared" si="0"/>
        <v>32.666666666666664</v>
      </c>
      <c r="J21" s="52">
        <v>3</v>
      </c>
      <c r="K21" s="44">
        <v>4</v>
      </c>
    </row>
    <row r="22" spans="3:11" ht="16.5" x14ac:dyDescent="0.25">
      <c r="C22" s="52">
        <f t="shared" si="1"/>
        <v>18</v>
      </c>
      <c r="D22" s="58">
        <v>33</v>
      </c>
      <c r="E22" s="66">
        <v>32</v>
      </c>
      <c r="F22" s="66">
        <v>33</v>
      </c>
      <c r="G22" s="62">
        <f t="shared" si="0"/>
        <v>32.666666666666664</v>
      </c>
      <c r="J22" s="42" t="s">
        <v>35</v>
      </c>
      <c r="K22" s="52">
        <f>AVERAGE(K19:K21)</f>
        <v>3.6666666666666665</v>
      </c>
    </row>
    <row r="23" spans="3:11" ht="16.5" x14ac:dyDescent="0.25">
      <c r="C23" s="52">
        <f t="shared" si="1"/>
        <v>19</v>
      </c>
      <c r="D23" s="58">
        <v>34</v>
      </c>
      <c r="E23" s="66">
        <v>31</v>
      </c>
      <c r="F23" s="66">
        <v>32</v>
      </c>
      <c r="G23" s="62">
        <f t="shared" si="0"/>
        <v>32.333333333333336</v>
      </c>
    </row>
    <row r="24" spans="3:11" ht="16.5" x14ac:dyDescent="0.25">
      <c r="C24" s="52">
        <f t="shared" si="1"/>
        <v>20</v>
      </c>
      <c r="D24" s="58">
        <v>33</v>
      </c>
      <c r="E24" s="66">
        <v>32</v>
      </c>
      <c r="F24" s="66">
        <v>34</v>
      </c>
      <c r="G24" s="62">
        <f t="shared" si="0"/>
        <v>33</v>
      </c>
    </row>
    <row r="25" spans="3:11" ht="16.5" x14ac:dyDescent="0.25">
      <c r="C25" s="52">
        <f t="shared" si="1"/>
        <v>21</v>
      </c>
      <c r="D25" s="58">
        <v>34</v>
      </c>
      <c r="E25" s="66">
        <v>32</v>
      </c>
      <c r="F25" s="66" t="s">
        <v>50</v>
      </c>
      <c r="G25" s="62">
        <f t="shared" si="0"/>
        <v>33</v>
      </c>
    </row>
    <row r="26" spans="3:11" ht="16.5" x14ac:dyDescent="0.25">
      <c r="C26" s="52">
        <f t="shared" si="1"/>
        <v>22</v>
      </c>
      <c r="D26" s="58">
        <v>35</v>
      </c>
      <c r="E26" s="66">
        <v>33</v>
      </c>
      <c r="F26" s="66">
        <v>35</v>
      </c>
      <c r="G26" s="62">
        <f t="shared" si="0"/>
        <v>34.333333333333336</v>
      </c>
    </row>
    <row r="27" spans="3:11" ht="16.5" x14ac:dyDescent="0.25">
      <c r="C27" s="52">
        <f t="shared" si="1"/>
        <v>23</v>
      </c>
      <c r="D27" s="58">
        <v>34</v>
      </c>
      <c r="E27" s="66">
        <v>33</v>
      </c>
      <c r="F27" s="66">
        <v>35</v>
      </c>
      <c r="G27" s="62">
        <f t="shared" si="0"/>
        <v>34</v>
      </c>
    </row>
    <row r="28" spans="3:11" ht="16.5" x14ac:dyDescent="0.25">
      <c r="C28" s="52">
        <f t="shared" si="1"/>
        <v>24</v>
      </c>
      <c r="D28" s="58">
        <v>36</v>
      </c>
      <c r="E28" s="66">
        <v>33</v>
      </c>
      <c r="F28" s="66">
        <v>35</v>
      </c>
      <c r="G28" s="62">
        <f t="shared" si="0"/>
        <v>34.666666666666664</v>
      </c>
    </row>
    <row r="29" spans="3:11" ht="16.5" x14ac:dyDescent="0.25">
      <c r="C29" s="52">
        <f t="shared" si="1"/>
        <v>25</v>
      </c>
      <c r="D29" s="58">
        <v>36</v>
      </c>
      <c r="E29" s="66">
        <v>34</v>
      </c>
      <c r="F29" s="66">
        <v>36</v>
      </c>
      <c r="G29" s="62">
        <f t="shared" si="0"/>
        <v>35.333333333333336</v>
      </c>
    </row>
    <row r="30" spans="3:11" ht="16.5" x14ac:dyDescent="0.25">
      <c r="C30" s="52">
        <f t="shared" si="1"/>
        <v>26</v>
      </c>
      <c r="D30" s="58">
        <v>37</v>
      </c>
      <c r="E30" s="66">
        <v>34</v>
      </c>
      <c r="F30" s="66">
        <v>35</v>
      </c>
      <c r="G30" s="62">
        <f t="shared" si="0"/>
        <v>35.333333333333336</v>
      </c>
    </row>
    <row r="31" spans="3:11" ht="16.5" x14ac:dyDescent="0.25">
      <c r="C31" s="52">
        <f t="shared" si="1"/>
        <v>27</v>
      </c>
      <c r="D31" s="58">
        <v>37</v>
      </c>
      <c r="E31" s="66">
        <v>34</v>
      </c>
      <c r="F31" s="66">
        <v>35</v>
      </c>
      <c r="G31" s="62">
        <f t="shared" si="0"/>
        <v>35.333333333333336</v>
      </c>
    </row>
    <row r="32" spans="3:11" ht="16.5" x14ac:dyDescent="0.25">
      <c r="C32" s="52">
        <f t="shared" si="1"/>
        <v>28</v>
      </c>
      <c r="D32" s="58">
        <v>38</v>
      </c>
      <c r="E32" s="66">
        <v>35</v>
      </c>
      <c r="F32" s="66">
        <v>36</v>
      </c>
      <c r="G32" s="62">
        <f t="shared" si="0"/>
        <v>36.333333333333336</v>
      </c>
    </row>
    <row r="33" spans="3:19" ht="16.5" x14ac:dyDescent="0.25">
      <c r="C33" s="52">
        <f t="shared" si="1"/>
        <v>29</v>
      </c>
      <c r="D33" s="58">
        <v>38</v>
      </c>
      <c r="E33" s="66">
        <v>36</v>
      </c>
      <c r="F33" s="66">
        <v>37</v>
      </c>
      <c r="G33" s="62">
        <f t="shared" si="0"/>
        <v>37</v>
      </c>
    </row>
    <row r="34" spans="3:19" ht="16.5" x14ac:dyDescent="0.25">
      <c r="C34" s="52">
        <f t="shared" si="1"/>
        <v>30</v>
      </c>
      <c r="D34" s="58">
        <v>39</v>
      </c>
      <c r="E34" s="66">
        <v>36</v>
      </c>
      <c r="F34" s="66">
        <v>38</v>
      </c>
      <c r="G34" s="62">
        <f t="shared" si="0"/>
        <v>37.666666666666664</v>
      </c>
    </row>
    <row r="35" spans="3:19" ht="16.5" x14ac:dyDescent="0.25">
      <c r="C35" s="52">
        <f t="shared" si="1"/>
        <v>31</v>
      </c>
      <c r="D35" s="58">
        <v>41</v>
      </c>
      <c r="E35" s="66">
        <v>37</v>
      </c>
      <c r="F35" s="66">
        <v>39</v>
      </c>
      <c r="G35" s="62">
        <f t="shared" si="0"/>
        <v>39</v>
      </c>
    </row>
    <row r="36" spans="3:19" ht="16.5" x14ac:dyDescent="0.25">
      <c r="C36" s="52">
        <f t="shared" si="1"/>
        <v>32</v>
      </c>
      <c r="D36" s="58">
        <v>41</v>
      </c>
      <c r="E36" s="66">
        <v>37</v>
      </c>
      <c r="F36" s="66">
        <v>39</v>
      </c>
      <c r="G36" s="62">
        <f t="shared" si="0"/>
        <v>39</v>
      </c>
    </row>
    <row r="37" spans="3:19" ht="16.5" x14ac:dyDescent="0.25">
      <c r="C37" s="52">
        <f t="shared" si="1"/>
        <v>33</v>
      </c>
      <c r="D37" s="58">
        <v>41</v>
      </c>
      <c r="E37" s="66">
        <v>37</v>
      </c>
      <c r="F37" s="66" t="s">
        <v>50</v>
      </c>
      <c r="G37" s="62">
        <f t="shared" si="0"/>
        <v>39</v>
      </c>
    </row>
    <row r="38" spans="3:19" ht="16.5" x14ac:dyDescent="0.25">
      <c r="C38" s="52">
        <f t="shared" si="1"/>
        <v>34</v>
      </c>
      <c r="D38" s="58">
        <v>43</v>
      </c>
      <c r="E38" s="66">
        <v>39</v>
      </c>
      <c r="F38" s="66">
        <v>40</v>
      </c>
      <c r="G38" s="62">
        <f t="shared" si="0"/>
        <v>40.666666666666664</v>
      </c>
    </row>
    <row r="39" spans="3:19" ht="16.5" x14ac:dyDescent="0.25">
      <c r="C39" s="52">
        <f t="shared" si="1"/>
        <v>35</v>
      </c>
      <c r="D39" s="58">
        <v>43</v>
      </c>
      <c r="E39" s="66">
        <v>39</v>
      </c>
      <c r="G39" s="62">
        <f t="shared" si="0"/>
        <v>41</v>
      </c>
    </row>
    <row r="40" spans="3:19" ht="16.5" x14ac:dyDescent="0.25">
      <c r="C40" s="52">
        <f t="shared" si="1"/>
        <v>36</v>
      </c>
      <c r="D40" s="58">
        <v>44</v>
      </c>
      <c r="E40" s="66">
        <v>41</v>
      </c>
      <c r="G40" s="62">
        <f t="shared" si="0"/>
        <v>42.5</v>
      </c>
    </row>
    <row r="41" spans="3:19" ht="16.5" x14ac:dyDescent="0.25">
      <c r="C41" s="52">
        <f t="shared" si="1"/>
        <v>37</v>
      </c>
      <c r="D41" s="58">
        <v>45</v>
      </c>
      <c r="G41" s="62">
        <f t="shared" si="0"/>
        <v>45</v>
      </c>
    </row>
    <row r="42" spans="3:19" ht="16.5" x14ac:dyDescent="0.25">
      <c r="C42" s="52">
        <f t="shared" si="1"/>
        <v>38</v>
      </c>
      <c r="E42" s="58"/>
    </row>
    <row r="43" spans="3:19" ht="16.5" x14ac:dyDescent="0.25">
      <c r="C43" s="52">
        <f t="shared" si="1"/>
        <v>39</v>
      </c>
      <c r="E43" s="58"/>
    </row>
    <row r="44" spans="3:19" x14ac:dyDescent="0.25">
      <c r="C44" s="52">
        <f t="shared" si="1"/>
        <v>40</v>
      </c>
      <c r="M44" s="52">
        <v>2</v>
      </c>
      <c r="N44" s="52">
        <v>5</v>
      </c>
      <c r="O44" s="52">
        <v>2</v>
      </c>
      <c r="P44" s="52">
        <f>_xlfn.STDEV.P(M44:O44)</f>
        <v>1.4142135623730951</v>
      </c>
      <c r="S44" s="52">
        <f>AVERAGE(M44:O44)</f>
        <v>3</v>
      </c>
    </row>
    <row r="45" spans="3:19" x14ac:dyDescent="0.25">
      <c r="C45" s="52">
        <f t="shared" si="1"/>
        <v>41</v>
      </c>
    </row>
    <row r="46" spans="3:19" x14ac:dyDescent="0.25">
      <c r="C46" s="52">
        <f t="shared" si="1"/>
        <v>42</v>
      </c>
    </row>
    <row r="47" spans="3:19" x14ac:dyDescent="0.25">
      <c r="C47" s="52">
        <f t="shared" si="1"/>
        <v>43</v>
      </c>
    </row>
    <row r="48" spans="3:19" x14ac:dyDescent="0.25">
      <c r="C48" s="52">
        <f t="shared" si="1"/>
        <v>44</v>
      </c>
    </row>
    <row r="49" spans="3:3" x14ac:dyDescent="0.25">
      <c r="C49" s="52">
        <f t="shared" si="1"/>
        <v>45</v>
      </c>
    </row>
    <row r="50" spans="3:3" x14ac:dyDescent="0.25">
      <c r="C50" s="52">
        <f t="shared" si="1"/>
        <v>46</v>
      </c>
    </row>
    <row r="51" spans="3:3" x14ac:dyDescent="0.25">
      <c r="C51" s="52">
        <f t="shared" si="1"/>
        <v>47</v>
      </c>
    </row>
    <row r="52" spans="3:3" x14ac:dyDescent="0.25">
      <c r="C52" s="52">
        <f t="shared" si="1"/>
        <v>48</v>
      </c>
    </row>
    <row r="53" spans="3:3" x14ac:dyDescent="0.25">
      <c r="C53" s="52">
        <f t="shared" si="1"/>
        <v>49</v>
      </c>
    </row>
    <row r="54" spans="3:3" x14ac:dyDescent="0.25">
      <c r="C54" s="52">
        <f t="shared" si="1"/>
        <v>50</v>
      </c>
    </row>
    <row r="55" spans="3:3" x14ac:dyDescent="0.25">
      <c r="C55" s="52">
        <f t="shared" si="1"/>
        <v>51</v>
      </c>
    </row>
    <row r="56" spans="3:3" x14ac:dyDescent="0.25">
      <c r="C56" s="52">
        <f t="shared" si="1"/>
        <v>52</v>
      </c>
    </row>
    <row r="57" spans="3:3" x14ac:dyDescent="0.25">
      <c r="C57" s="52">
        <f t="shared" si="1"/>
        <v>53</v>
      </c>
    </row>
    <row r="58" spans="3:3" x14ac:dyDescent="0.25">
      <c r="C58" s="52">
        <f t="shared" si="1"/>
        <v>54</v>
      </c>
    </row>
    <row r="59" spans="3:3" x14ac:dyDescent="0.25">
      <c r="C59" s="52">
        <f t="shared" si="1"/>
        <v>55</v>
      </c>
    </row>
    <row r="60" spans="3:3" x14ac:dyDescent="0.25">
      <c r="C60" s="52">
        <f t="shared" si="1"/>
        <v>56</v>
      </c>
    </row>
    <row r="61" spans="3:3" x14ac:dyDescent="0.25">
      <c r="C61" s="52">
        <f t="shared" si="1"/>
        <v>57</v>
      </c>
    </row>
    <row r="62" spans="3:3" x14ac:dyDescent="0.25">
      <c r="C62" s="52">
        <f t="shared" si="1"/>
        <v>58</v>
      </c>
    </row>
    <row r="63" spans="3:3" x14ac:dyDescent="0.25">
      <c r="C63" s="52">
        <f t="shared" si="1"/>
        <v>59</v>
      </c>
    </row>
    <row r="64" spans="3:3" x14ac:dyDescent="0.25">
      <c r="C64" s="52">
        <f t="shared" si="1"/>
        <v>60</v>
      </c>
    </row>
    <row r="65" spans="3:3" x14ac:dyDescent="0.25">
      <c r="C65" s="52">
        <f t="shared" si="1"/>
        <v>61</v>
      </c>
    </row>
    <row r="66" spans="3:3" x14ac:dyDescent="0.25">
      <c r="C66" s="52">
        <f t="shared" si="1"/>
        <v>62</v>
      </c>
    </row>
    <row r="67" spans="3:3" x14ac:dyDescent="0.25">
      <c r="C67" s="52">
        <f t="shared" si="1"/>
        <v>63</v>
      </c>
    </row>
    <row r="68" spans="3:3" x14ac:dyDescent="0.25">
      <c r="C68" s="52">
        <f t="shared" si="1"/>
        <v>64</v>
      </c>
    </row>
    <row r="69" spans="3:3" x14ac:dyDescent="0.25">
      <c r="C69" s="52">
        <f t="shared" si="1"/>
        <v>65</v>
      </c>
    </row>
    <row r="70" spans="3:3" x14ac:dyDescent="0.25">
      <c r="C70" s="52">
        <f t="shared" si="1"/>
        <v>66</v>
      </c>
    </row>
    <row r="71" spans="3:3" x14ac:dyDescent="0.25">
      <c r="C71" s="52">
        <f t="shared" ref="C71:C102" si="2">C70+1</f>
        <v>67</v>
      </c>
    </row>
    <row r="72" spans="3:3" x14ac:dyDescent="0.25">
      <c r="C72" s="52">
        <f t="shared" si="2"/>
        <v>68</v>
      </c>
    </row>
    <row r="73" spans="3:3" x14ac:dyDescent="0.25">
      <c r="C73" s="52">
        <f t="shared" si="2"/>
        <v>69</v>
      </c>
    </row>
    <row r="74" spans="3:3" x14ac:dyDescent="0.25">
      <c r="C74" s="52">
        <f t="shared" si="2"/>
        <v>70</v>
      </c>
    </row>
    <row r="75" spans="3:3" x14ac:dyDescent="0.25">
      <c r="C75" s="52">
        <f t="shared" si="2"/>
        <v>71</v>
      </c>
    </row>
    <row r="76" spans="3:3" x14ac:dyDescent="0.25">
      <c r="C76" s="52">
        <f t="shared" si="2"/>
        <v>72</v>
      </c>
    </row>
    <row r="77" spans="3:3" x14ac:dyDescent="0.25">
      <c r="C77" s="52">
        <f t="shared" si="2"/>
        <v>73</v>
      </c>
    </row>
    <row r="78" spans="3:3" x14ac:dyDescent="0.25">
      <c r="C78" s="52">
        <f t="shared" si="2"/>
        <v>74</v>
      </c>
    </row>
    <row r="79" spans="3:3" x14ac:dyDescent="0.25">
      <c r="C79" s="52">
        <f t="shared" si="2"/>
        <v>75</v>
      </c>
    </row>
    <row r="80" spans="3:3" x14ac:dyDescent="0.25">
      <c r="C80" s="52">
        <f t="shared" si="2"/>
        <v>76</v>
      </c>
    </row>
    <row r="81" spans="3:3" x14ac:dyDescent="0.25">
      <c r="C81" s="52">
        <f t="shared" si="2"/>
        <v>77</v>
      </c>
    </row>
    <row r="82" spans="3:3" x14ac:dyDescent="0.25">
      <c r="C82" s="52">
        <f t="shared" si="2"/>
        <v>78</v>
      </c>
    </row>
    <row r="83" spans="3:3" x14ac:dyDescent="0.25">
      <c r="C83" s="52">
        <f t="shared" si="2"/>
        <v>79</v>
      </c>
    </row>
    <row r="84" spans="3:3" x14ac:dyDescent="0.25">
      <c r="C84" s="52">
        <f t="shared" si="2"/>
        <v>80</v>
      </c>
    </row>
    <row r="85" spans="3:3" x14ac:dyDescent="0.25">
      <c r="C85" s="52">
        <f t="shared" si="2"/>
        <v>81</v>
      </c>
    </row>
    <row r="86" spans="3:3" x14ac:dyDescent="0.25">
      <c r="C86" s="52">
        <f t="shared" si="2"/>
        <v>82</v>
      </c>
    </row>
    <row r="87" spans="3:3" x14ac:dyDescent="0.25">
      <c r="C87" s="52">
        <f t="shared" si="2"/>
        <v>83</v>
      </c>
    </row>
    <row r="88" spans="3:3" x14ac:dyDescent="0.25">
      <c r="C88" s="52">
        <f t="shared" si="2"/>
        <v>84</v>
      </c>
    </row>
    <row r="89" spans="3:3" x14ac:dyDescent="0.25">
      <c r="C89" s="52">
        <f t="shared" si="2"/>
        <v>85</v>
      </c>
    </row>
    <row r="90" spans="3:3" x14ac:dyDescent="0.25">
      <c r="C90" s="52">
        <f t="shared" si="2"/>
        <v>86</v>
      </c>
    </row>
    <row r="91" spans="3:3" x14ac:dyDescent="0.25">
      <c r="C91" s="52">
        <f t="shared" si="2"/>
        <v>87</v>
      </c>
    </row>
    <row r="92" spans="3:3" x14ac:dyDescent="0.25">
      <c r="C92" s="52">
        <f t="shared" si="2"/>
        <v>88</v>
      </c>
    </row>
    <row r="93" spans="3:3" x14ac:dyDescent="0.25">
      <c r="C93" s="52">
        <f t="shared" si="2"/>
        <v>89</v>
      </c>
    </row>
    <row r="94" spans="3:3" x14ac:dyDescent="0.25">
      <c r="C94" s="52">
        <f t="shared" si="2"/>
        <v>90</v>
      </c>
    </row>
    <row r="95" spans="3:3" x14ac:dyDescent="0.25">
      <c r="C95" s="52">
        <f t="shared" si="2"/>
        <v>91</v>
      </c>
    </row>
    <row r="96" spans="3:3" x14ac:dyDescent="0.25">
      <c r="C96" s="52">
        <f t="shared" si="2"/>
        <v>92</v>
      </c>
    </row>
    <row r="97" spans="3:3" x14ac:dyDescent="0.25">
      <c r="C97" s="52">
        <f t="shared" si="2"/>
        <v>93</v>
      </c>
    </row>
    <row r="98" spans="3:3" x14ac:dyDescent="0.25">
      <c r="C98" s="52">
        <f t="shared" si="2"/>
        <v>94</v>
      </c>
    </row>
    <row r="99" spans="3:3" x14ac:dyDescent="0.25">
      <c r="C99" s="52">
        <f t="shared" si="2"/>
        <v>95</v>
      </c>
    </row>
    <row r="100" spans="3:3" x14ac:dyDescent="0.25">
      <c r="C100" s="52">
        <f t="shared" si="2"/>
        <v>96</v>
      </c>
    </row>
    <row r="101" spans="3:3" x14ac:dyDescent="0.25">
      <c r="C101" s="52">
        <f t="shared" si="2"/>
        <v>97</v>
      </c>
    </row>
    <row r="102" spans="3:3" x14ac:dyDescent="0.25">
      <c r="C102" s="52">
        <f t="shared" si="2"/>
        <v>98</v>
      </c>
    </row>
  </sheetData>
  <dataValidations disablePrompts="1" count="1">
    <dataValidation allowBlank="1" showInputMessage="1" showErrorMessage="1" prompt="TBL_HST[CH2]" sqref="F5:F38 D5:E41 D42:F87" xr:uid="{D51DA627-CB08-4D9E-9499-2A3666C7F076}"/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B4E4F-DB22-42AB-915F-92B61157A527}">
  <sheetPr codeName="Sheet19"/>
  <dimension ref="A1:AH2445"/>
  <sheetViews>
    <sheetView zoomScale="85" zoomScaleNormal="85" workbookViewId="0">
      <selection activeCell="E4" sqref="E4:E51"/>
    </sheetView>
  </sheetViews>
  <sheetFormatPr defaultRowHeight="15" x14ac:dyDescent="0.25"/>
  <cols>
    <col min="1" max="1" width="9.140625" style="62"/>
    <col min="2" max="3" width="14.42578125" style="62" customWidth="1"/>
    <col min="4" max="4" width="13.5703125" style="62" customWidth="1"/>
    <col min="5" max="5" width="14.85546875" style="62" customWidth="1"/>
    <col min="6" max="6" width="12.7109375" style="62" customWidth="1"/>
    <col min="7" max="7" width="11.7109375" style="62" customWidth="1"/>
    <col min="8" max="8" width="9.140625" style="62"/>
    <col min="9" max="9" width="34" style="62" customWidth="1"/>
    <col min="10" max="10" width="20" style="62" customWidth="1"/>
    <col min="11" max="13" width="9.140625" style="62"/>
    <col min="14" max="16" width="9.140625" style="62" customWidth="1"/>
    <col min="17" max="16384" width="9.140625" style="62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64"/>
      <c r="D4" s="67">
        <v>12120</v>
      </c>
      <c r="E4" s="67">
        <v>24</v>
      </c>
      <c r="F4" s="67">
        <v>75</v>
      </c>
      <c r="G4" s="67">
        <v>99</v>
      </c>
      <c r="H4" s="11"/>
      <c r="I4" s="12" t="s">
        <v>8</v>
      </c>
      <c r="J4" s="13">
        <v>2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64"/>
      <c r="D5" s="67">
        <v>302</v>
      </c>
      <c r="E5" s="67">
        <v>25</v>
      </c>
      <c r="F5" s="67">
        <v>80</v>
      </c>
      <c r="G5" s="67">
        <v>105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64"/>
      <c r="D6" s="67">
        <v>296</v>
      </c>
      <c r="E6" s="67">
        <v>27</v>
      </c>
      <c r="F6" s="67">
        <v>70</v>
      </c>
      <c r="G6" s="67">
        <v>97</v>
      </c>
      <c r="H6" s="11"/>
      <c r="I6" s="15" t="s">
        <v>9</v>
      </c>
      <c r="J6" s="16" t="s">
        <v>52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64"/>
      <c r="D7" s="67">
        <v>304</v>
      </c>
      <c r="E7" s="67">
        <v>27</v>
      </c>
      <c r="F7" s="67">
        <v>75</v>
      </c>
      <c r="G7" s="67">
        <v>102</v>
      </c>
      <c r="H7" s="11"/>
      <c r="I7" s="17" t="s">
        <v>10</v>
      </c>
      <c r="J7" s="18">
        <v>18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64"/>
      <c r="D8" s="67">
        <v>299</v>
      </c>
      <c r="E8" s="67">
        <v>27</v>
      </c>
      <c r="F8" s="67">
        <v>67</v>
      </c>
      <c r="G8" s="67">
        <v>94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64"/>
      <c r="D9" s="67">
        <v>307</v>
      </c>
      <c r="E9" s="67">
        <v>28</v>
      </c>
      <c r="F9" s="67">
        <v>67</v>
      </c>
      <c r="G9" s="67">
        <v>95</v>
      </c>
      <c r="H9" s="11"/>
      <c r="I9" s="15" t="s">
        <v>11</v>
      </c>
      <c r="J9" s="16">
        <v>4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64"/>
      <c r="D10" s="67">
        <v>306</v>
      </c>
      <c r="E10" s="67">
        <v>27</v>
      </c>
      <c r="F10" s="67">
        <v>66</v>
      </c>
      <c r="G10" s="67">
        <v>93</v>
      </c>
      <c r="H10" s="11"/>
      <c r="I10" s="17" t="s">
        <v>12</v>
      </c>
      <c r="J10" s="21" t="s">
        <v>13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64"/>
      <c r="D11" s="67">
        <v>307</v>
      </c>
      <c r="E11" s="67">
        <v>28</v>
      </c>
      <c r="F11" s="67">
        <v>65</v>
      </c>
      <c r="G11" s="67">
        <v>93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64"/>
      <c r="D12" s="67">
        <v>308</v>
      </c>
      <c r="E12" s="67">
        <v>29</v>
      </c>
      <c r="F12" s="67">
        <v>66</v>
      </c>
      <c r="G12" s="67">
        <v>95</v>
      </c>
      <c r="H12" s="11"/>
      <c r="I12" s="15" t="s">
        <v>14</v>
      </c>
      <c r="J12" s="16">
        <v>588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64"/>
      <c r="D13" s="67">
        <v>305</v>
      </c>
      <c r="E13" s="67">
        <v>29</v>
      </c>
      <c r="F13" s="67">
        <v>64</v>
      </c>
      <c r="G13" s="67">
        <v>93</v>
      </c>
      <c r="H13" s="11"/>
      <c r="I13" s="24" t="s">
        <v>15</v>
      </c>
      <c r="J13" s="25">
        <f>J12+J7</f>
        <v>606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64"/>
      <c r="D14" s="67">
        <v>306</v>
      </c>
      <c r="E14" s="67">
        <v>31</v>
      </c>
      <c r="F14" s="67">
        <v>64</v>
      </c>
      <c r="G14" s="67">
        <v>95</v>
      </c>
      <c r="H14" s="11"/>
      <c r="I14" s="24" t="s">
        <v>16</v>
      </c>
      <c r="J14" s="26">
        <v>598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64"/>
      <c r="D15" s="67">
        <v>306</v>
      </c>
      <c r="E15" s="67">
        <v>29</v>
      </c>
      <c r="F15" s="67">
        <v>67</v>
      </c>
      <c r="G15" s="67">
        <v>96</v>
      </c>
      <c r="H15" s="11"/>
      <c r="I15" s="17" t="s">
        <v>17</v>
      </c>
      <c r="J15" s="21">
        <f>J13-J14</f>
        <v>8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64"/>
      <c r="D16" s="67">
        <v>304</v>
      </c>
      <c r="E16" s="67">
        <v>30</v>
      </c>
      <c r="F16" s="67">
        <v>65</v>
      </c>
      <c r="G16" s="67">
        <v>95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64"/>
      <c r="D17" s="67">
        <v>307</v>
      </c>
      <c r="E17" s="67">
        <v>30</v>
      </c>
      <c r="F17" s="67">
        <v>65</v>
      </c>
      <c r="G17" s="67">
        <v>95</v>
      </c>
      <c r="H17" s="11"/>
      <c r="I17" s="15" t="s">
        <v>18</v>
      </c>
      <c r="J17" s="16">
        <v>52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64"/>
      <c r="D18" s="67">
        <v>305</v>
      </c>
      <c r="E18" s="67">
        <v>29</v>
      </c>
      <c r="F18" s="67">
        <v>65</v>
      </c>
      <c r="G18" s="67">
        <v>94</v>
      </c>
      <c r="H18" s="11"/>
      <c r="I18" s="24" t="s">
        <v>19</v>
      </c>
      <c r="J18" s="25">
        <v>50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64"/>
      <c r="D19" s="67">
        <v>304</v>
      </c>
      <c r="E19" s="67">
        <v>30</v>
      </c>
      <c r="F19" s="67">
        <v>65</v>
      </c>
      <c r="G19" s="67">
        <v>95</v>
      </c>
      <c r="H19" s="11"/>
      <c r="I19" s="24" t="s">
        <v>20</v>
      </c>
      <c r="J19" s="25">
        <v>39.200000000000003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6.5" x14ac:dyDescent="0.25">
      <c r="A20" s="1"/>
      <c r="B20" s="8">
        <f t="shared" si="0"/>
        <v>17</v>
      </c>
      <c r="C20" s="64"/>
      <c r="D20" s="67">
        <v>307</v>
      </c>
      <c r="E20" s="67">
        <v>30</v>
      </c>
      <c r="F20" s="67">
        <v>64</v>
      </c>
      <c r="G20" s="67">
        <v>94</v>
      </c>
      <c r="H20" s="11"/>
      <c r="I20" s="29" t="s">
        <v>28</v>
      </c>
      <c r="J20" s="30">
        <f>J18-J19</f>
        <v>10.799999999999997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64"/>
      <c r="D21" s="67">
        <v>305</v>
      </c>
      <c r="E21" s="67">
        <v>29</v>
      </c>
      <c r="F21" s="67">
        <v>65</v>
      </c>
      <c r="G21" s="67">
        <v>94</v>
      </c>
      <c r="H21" s="11"/>
      <c r="I21" s="31"/>
      <c r="J21" s="32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64"/>
      <c r="D22" s="67">
        <v>306</v>
      </c>
      <c r="E22" s="67">
        <v>30</v>
      </c>
      <c r="F22" s="67">
        <v>64</v>
      </c>
      <c r="G22" s="67">
        <v>94</v>
      </c>
      <c r="H22" s="11"/>
      <c r="I22" s="15" t="s">
        <v>21</v>
      </c>
      <c r="J22" s="16">
        <f>COUNT(G4:G106)</f>
        <v>48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64"/>
      <c r="D23" s="67">
        <v>306</v>
      </c>
      <c r="E23" s="67">
        <v>30</v>
      </c>
      <c r="F23" s="67">
        <v>66</v>
      </c>
      <c r="G23" s="67">
        <v>96</v>
      </c>
      <c r="H23" s="11"/>
      <c r="I23" s="17" t="s">
        <v>22</v>
      </c>
      <c r="J23" s="21">
        <f>J15/J22</f>
        <v>0.16666666666666666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64"/>
      <c r="D24" s="67">
        <v>303</v>
      </c>
      <c r="E24" s="67">
        <v>30</v>
      </c>
      <c r="F24" s="67">
        <v>65</v>
      </c>
      <c r="G24" s="67">
        <v>95</v>
      </c>
      <c r="H24" s="11"/>
      <c r="I24" s="14"/>
      <c r="J24" s="33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64"/>
      <c r="D25" s="67">
        <v>305</v>
      </c>
      <c r="E25" s="67">
        <v>30</v>
      </c>
      <c r="F25" s="67">
        <v>64</v>
      </c>
      <c r="G25" s="67">
        <v>94</v>
      </c>
      <c r="H25" s="11"/>
      <c r="I25" s="15" t="s">
        <v>23</v>
      </c>
      <c r="J25" s="16">
        <f>AVERAGE(E4:E1048576)</f>
        <v>30.681818181818183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64"/>
      <c r="D26" s="67">
        <v>308</v>
      </c>
      <c r="E26" s="67">
        <v>30</v>
      </c>
      <c r="F26" s="67">
        <v>65</v>
      </c>
      <c r="G26" s="67">
        <v>95</v>
      </c>
      <c r="H26" s="11"/>
      <c r="I26" s="24" t="s">
        <v>24</v>
      </c>
      <c r="J26" s="25">
        <f>AVERAGE(F4:F1048576)</f>
        <v>65.568181818181813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64"/>
      <c r="D27" s="67">
        <v>304</v>
      </c>
      <c r="E27" s="67">
        <v>31</v>
      </c>
      <c r="F27" s="67">
        <v>65</v>
      </c>
      <c r="G27" s="67">
        <v>96</v>
      </c>
      <c r="H27" s="11"/>
      <c r="I27" s="17" t="s">
        <v>25</v>
      </c>
      <c r="J27" s="21">
        <f>AVERAGE(D5:D1048576)</f>
        <v>303.61702127659572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64"/>
      <c r="D28" s="67">
        <v>303</v>
      </c>
      <c r="E28" s="67">
        <v>31</v>
      </c>
      <c r="F28" s="67">
        <v>66</v>
      </c>
      <c r="G28" s="67">
        <v>97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64"/>
      <c r="D29" s="67">
        <v>305</v>
      </c>
      <c r="E29" s="67">
        <v>30</v>
      </c>
      <c r="F29" s="67">
        <v>65</v>
      </c>
      <c r="G29" s="67">
        <v>95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64"/>
      <c r="D30" s="67">
        <v>303</v>
      </c>
      <c r="E30" s="67">
        <v>31</v>
      </c>
      <c r="F30" s="67">
        <v>65</v>
      </c>
      <c r="G30" s="67">
        <v>96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64"/>
      <c r="D31" s="67">
        <v>305</v>
      </c>
      <c r="E31" s="67">
        <v>32</v>
      </c>
      <c r="F31" s="67">
        <v>66</v>
      </c>
      <c r="G31" s="67">
        <v>98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64"/>
      <c r="D32" s="67">
        <v>302</v>
      </c>
      <c r="E32" s="67">
        <v>32</v>
      </c>
      <c r="F32" s="67">
        <v>63</v>
      </c>
      <c r="G32" s="67">
        <v>95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64"/>
      <c r="D33" s="67">
        <v>304</v>
      </c>
      <c r="E33" s="67">
        <v>32</v>
      </c>
      <c r="F33" s="67">
        <v>65</v>
      </c>
      <c r="G33" s="67">
        <v>97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64"/>
      <c r="D34" s="67">
        <v>305</v>
      </c>
      <c r="E34" s="67">
        <v>31</v>
      </c>
      <c r="F34" s="67">
        <v>65</v>
      </c>
      <c r="G34" s="67">
        <v>96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64"/>
      <c r="D35" s="67">
        <v>304</v>
      </c>
      <c r="E35" s="67">
        <v>32</v>
      </c>
      <c r="F35" s="67">
        <v>63</v>
      </c>
      <c r="G35" s="67">
        <v>95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64"/>
      <c r="D36" s="67">
        <v>303</v>
      </c>
      <c r="E36" s="67">
        <v>32</v>
      </c>
      <c r="F36" s="67">
        <v>65</v>
      </c>
      <c r="G36" s="67">
        <v>97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64"/>
      <c r="D37" s="67">
        <v>305</v>
      </c>
      <c r="E37" s="67">
        <v>33</v>
      </c>
      <c r="F37" s="67">
        <v>63</v>
      </c>
      <c r="G37" s="67">
        <v>96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64"/>
      <c r="D38" s="67">
        <v>302</v>
      </c>
      <c r="E38" s="67">
        <v>33</v>
      </c>
      <c r="F38" s="67">
        <v>63</v>
      </c>
      <c r="G38" s="67">
        <v>96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64"/>
      <c r="D39" s="67">
        <v>303</v>
      </c>
      <c r="E39" s="67">
        <v>33</v>
      </c>
      <c r="F39" s="67">
        <v>65</v>
      </c>
      <c r="G39" s="67">
        <v>98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64"/>
      <c r="D40" s="67">
        <v>303</v>
      </c>
      <c r="E40" s="67">
        <v>34</v>
      </c>
      <c r="F40" s="67">
        <v>63</v>
      </c>
      <c r="G40" s="67">
        <v>97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64"/>
      <c r="D41" s="67">
        <v>302</v>
      </c>
      <c r="E41" s="67">
        <v>34</v>
      </c>
      <c r="F41" s="67">
        <v>63</v>
      </c>
      <c r="G41" s="67">
        <v>97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64"/>
      <c r="D42" s="67">
        <v>305</v>
      </c>
      <c r="E42" s="67">
        <v>33</v>
      </c>
      <c r="F42" s="67">
        <v>65</v>
      </c>
      <c r="G42" s="67">
        <v>98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64"/>
      <c r="D43" s="67">
        <v>300</v>
      </c>
      <c r="E43" s="67">
        <v>35</v>
      </c>
      <c r="F43" s="67">
        <v>64</v>
      </c>
      <c r="G43" s="67">
        <v>99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64"/>
      <c r="D44" s="67">
        <v>300</v>
      </c>
      <c r="E44" s="67">
        <v>35</v>
      </c>
      <c r="F44" s="67">
        <v>63</v>
      </c>
      <c r="G44" s="67">
        <v>98</v>
      </c>
      <c r="H44" s="11"/>
      <c r="I44" s="11"/>
      <c r="J44" s="11"/>
      <c r="K44" s="11"/>
      <c r="L44" s="11"/>
      <c r="M44" s="1"/>
      <c r="N44" s="1"/>
      <c r="O44" s="1" t="s">
        <v>26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64"/>
      <c r="D45" s="67">
        <v>304</v>
      </c>
      <c r="E45" s="67">
        <v>36</v>
      </c>
      <c r="F45" s="67">
        <v>63</v>
      </c>
      <c r="G45" s="67">
        <v>99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64"/>
      <c r="D46" s="67">
        <v>300</v>
      </c>
      <c r="E46" s="67">
        <v>35</v>
      </c>
      <c r="F46" s="67">
        <v>63</v>
      </c>
      <c r="G46" s="67">
        <v>98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64"/>
      <c r="D47" s="67">
        <v>300</v>
      </c>
      <c r="E47" s="67" t="s">
        <v>26</v>
      </c>
      <c r="F47" s="67" t="s">
        <v>26</v>
      </c>
      <c r="G47" s="67">
        <v>99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64"/>
      <c r="D48" s="67">
        <v>303</v>
      </c>
      <c r="E48" s="67">
        <v>36</v>
      </c>
      <c r="F48" s="67">
        <v>63</v>
      </c>
      <c r="G48" s="67">
        <v>99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64"/>
      <c r="D49" s="67">
        <v>300</v>
      </c>
      <c r="E49" s="67"/>
      <c r="F49" s="67" t="s">
        <v>26</v>
      </c>
      <c r="G49" s="67">
        <v>99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64"/>
      <c r="D50" s="67">
        <v>301</v>
      </c>
      <c r="E50" s="67"/>
      <c r="F50" s="67" t="s">
        <v>26</v>
      </c>
      <c r="G50" s="67">
        <v>102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64"/>
      <c r="D51" s="67">
        <v>298</v>
      </c>
      <c r="E51" s="67"/>
      <c r="F51" s="67" t="s">
        <v>26</v>
      </c>
      <c r="G51" s="67">
        <v>100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64"/>
      <c r="D52" s="68"/>
      <c r="E52" s="71"/>
      <c r="F52" s="71"/>
      <c r="G52" s="68"/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64"/>
      <c r="D53" s="68"/>
      <c r="E53" s="71"/>
      <c r="F53" s="71"/>
      <c r="G53" s="68"/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64"/>
      <c r="D54" s="68"/>
      <c r="E54" s="71"/>
      <c r="F54" s="71"/>
      <c r="G54" s="68"/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64"/>
      <c r="D55" s="68"/>
      <c r="E55" s="71"/>
      <c r="F55" s="71"/>
      <c r="G55" s="68"/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64"/>
      <c r="D56" s="68"/>
      <c r="E56" s="71"/>
      <c r="F56" s="71"/>
      <c r="G56" s="68"/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64"/>
      <c r="D57" s="68"/>
      <c r="E57" s="71"/>
      <c r="F57" s="71"/>
      <c r="G57" s="68"/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64"/>
      <c r="D58" s="68"/>
      <c r="E58" s="71"/>
      <c r="F58" s="71"/>
      <c r="G58" s="68"/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64"/>
      <c r="D59" s="68"/>
      <c r="E59" s="71"/>
      <c r="F59" s="71"/>
      <c r="G59" s="68"/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64"/>
      <c r="D60" s="68"/>
      <c r="E60" s="71"/>
      <c r="F60" s="71"/>
      <c r="G60" s="68"/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64"/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64"/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64"/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64"/>
      <c r="H64" s="11"/>
      <c r="I64" s="34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64"/>
      <c r="H65" s="11"/>
      <c r="I65" s="34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64"/>
      <c r="H66" s="11"/>
      <c r="I66" s="34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65"/>
      <c r="H67" s="11"/>
      <c r="I67" s="34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64"/>
      <c r="H68" s="11"/>
      <c r="I68" s="34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65"/>
      <c r="H69" s="11"/>
      <c r="I69" s="34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64"/>
      <c r="H70" s="11"/>
      <c r="I70" s="34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65"/>
      <c r="H71" s="11"/>
      <c r="I71" s="34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65"/>
      <c r="H72" s="11"/>
      <c r="I72" s="34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64"/>
      <c r="H73" s="11"/>
      <c r="I73" s="34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64"/>
      <c r="H74" s="11"/>
      <c r="I74" s="34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64"/>
      <c r="H75" s="11"/>
      <c r="I75" s="34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64"/>
      <c r="H76" s="11"/>
      <c r="I76" s="34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64"/>
      <c r="H77" s="11"/>
      <c r="I77" s="34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64"/>
      <c r="H78" s="11"/>
      <c r="I78" s="34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64"/>
      <c r="H79" s="11"/>
      <c r="I79" s="34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64"/>
      <c r="H80" s="11"/>
      <c r="I80" s="34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64"/>
      <c r="H81" s="11"/>
      <c r="I81" s="34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64"/>
      <c r="H82" s="11"/>
      <c r="I82" s="34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64"/>
      <c r="H83" s="11"/>
      <c r="I83" s="34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64"/>
      <c r="H84" s="11"/>
      <c r="I84" s="34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64"/>
      <c r="H85" s="11"/>
      <c r="I85" s="34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65"/>
      <c r="H86" s="11"/>
      <c r="I86" s="34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H87" s="11"/>
      <c r="I87" s="34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H88" s="11"/>
      <c r="I88" s="40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H89" s="11"/>
      <c r="I89" s="40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H90" s="11"/>
      <c r="I90" s="40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H91" s="11"/>
      <c r="I91" s="40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H92" s="11"/>
      <c r="I92" s="34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H93" s="11"/>
      <c r="I93" s="40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H94" s="11"/>
      <c r="I94" s="40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H95" s="11"/>
      <c r="I95" s="34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H96" s="11"/>
      <c r="I96" s="34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H97" s="11"/>
      <c r="I97" s="34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ime_x000d__x000a__x000d__x000a_TBL_HST[TIME]" sqref="C4:C86" xr:uid="{E32F0DB7-E266-4A65-8BD0-1E2F15AE8B50}"/>
    <dataValidation allowBlank="1" showInputMessage="1" showErrorMessage="1" prompt="TBL_HST[CH1]" sqref="D4:D86" xr:uid="{B08EA777-EE54-4571-B579-3946379D271F}"/>
    <dataValidation allowBlank="1" showInputMessage="1" showErrorMessage="1" prompt="TBL_HST[CH4]" sqref="G4:G86" xr:uid="{A0C86360-DCC8-4AD0-83E6-5F45E5C4A89E}"/>
    <dataValidation allowBlank="1" showInputMessage="1" showErrorMessage="1" prompt="TBL_HST[CH2]" sqref="E4:E86" xr:uid="{A696EAE9-7C8B-458D-9A5F-A6E062E39B09}"/>
    <dataValidation allowBlank="1" showInputMessage="1" showErrorMessage="1" prompt="TBL_HST[CH3]" sqref="F4:F86" xr:uid="{0F6D6121-4E2B-4733-8940-8FB2396318D1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89285-A855-417F-8F7E-53828EBB7983}">
  <sheetPr codeName="Sheet20"/>
  <dimension ref="A1:AH2445"/>
  <sheetViews>
    <sheetView topLeftCell="A3" zoomScale="85" zoomScaleNormal="85" workbookViewId="0">
      <selection activeCell="E4" sqref="E4:E61"/>
    </sheetView>
  </sheetViews>
  <sheetFormatPr defaultRowHeight="15" x14ac:dyDescent="0.25"/>
  <cols>
    <col min="1" max="1" width="9.140625" style="67"/>
    <col min="2" max="3" width="14.42578125" style="67" customWidth="1"/>
    <col min="4" max="4" width="13.5703125" style="67" customWidth="1"/>
    <col min="5" max="5" width="14.85546875" style="67" customWidth="1"/>
    <col min="6" max="6" width="12.7109375" style="67" customWidth="1"/>
    <col min="7" max="7" width="11.7109375" style="67" customWidth="1"/>
    <col min="8" max="8" width="9.140625" style="67"/>
    <col min="9" max="9" width="34" style="67" customWidth="1"/>
    <col min="10" max="10" width="20" style="67" customWidth="1"/>
    <col min="11" max="13" width="9.140625" style="67"/>
    <col min="14" max="16" width="9.140625" style="67" customWidth="1"/>
    <col min="17" max="16384" width="9.140625" style="67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69"/>
      <c r="D4" s="67">
        <v>13575</v>
      </c>
      <c r="E4" s="67">
        <v>24</v>
      </c>
      <c r="F4" s="67">
        <v>76</v>
      </c>
      <c r="G4" s="67">
        <v>100</v>
      </c>
      <c r="H4" s="11"/>
      <c r="I4" s="12" t="s">
        <v>8</v>
      </c>
      <c r="J4" s="13">
        <v>2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69"/>
      <c r="D5" s="67">
        <v>302</v>
      </c>
      <c r="E5" s="67">
        <v>25</v>
      </c>
      <c r="F5" s="67">
        <v>72</v>
      </c>
      <c r="G5" s="67">
        <v>97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69"/>
      <c r="D6" s="67">
        <v>304</v>
      </c>
      <c r="E6" s="67">
        <v>29</v>
      </c>
      <c r="F6" s="67">
        <v>71</v>
      </c>
      <c r="G6" s="67">
        <v>100</v>
      </c>
      <c r="H6" s="11"/>
      <c r="I6" s="15" t="s">
        <v>9</v>
      </c>
      <c r="J6" s="16" t="s">
        <v>52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69"/>
      <c r="D7" s="67">
        <v>303</v>
      </c>
      <c r="E7" s="67">
        <v>28</v>
      </c>
      <c r="F7" s="67">
        <v>70</v>
      </c>
      <c r="G7" s="67">
        <v>98</v>
      </c>
      <c r="H7" s="11"/>
      <c r="I7" s="17" t="s">
        <v>10</v>
      </c>
      <c r="J7" s="18">
        <v>18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69"/>
      <c r="D8" s="67">
        <v>303</v>
      </c>
      <c r="E8" s="67">
        <v>30</v>
      </c>
      <c r="F8" s="67">
        <v>66</v>
      </c>
      <c r="G8" s="67">
        <v>96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69"/>
      <c r="D9" s="67">
        <v>303</v>
      </c>
      <c r="E9" s="67">
        <v>31</v>
      </c>
      <c r="F9" s="67">
        <v>66</v>
      </c>
      <c r="G9" s="67">
        <v>97</v>
      </c>
      <c r="H9" s="11"/>
      <c r="I9" s="15" t="s">
        <v>11</v>
      </c>
      <c r="J9" s="16">
        <v>4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69"/>
      <c r="D10" s="67">
        <v>306</v>
      </c>
      <c r="E10" s="67">
        <v>31</v>
      </c>
      <c r="F10" s="67">
        <v>64</v>
      </c>
      <c r="G10" s="67">
        <v>95</v>
      </c>
      <c r="H10" s="11"/>
      <c r="I10" s="17" t="s">
        <v>12</v>
      </c>
      <c r="J10" s="21" t="s">
        <v>13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69"/>
      <c r="D11" s="67">
        <v>304</v>
      </c>
      <c r="E11" s="67">
        <v>30</v>
      </c>
      <c r="F11" s="67">
        <v>65</v>
      </c>
      <c r="G11" s="67">
        <v>95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69"/>
      <c r="D12" s="67">
        <v>305</v>
      </c>
      <c r="E12" s="67">
        <v>31</v>
      </c>
      <c r="F12" s="67">
        <v>65</v>
      </c>
      <c r="G12" s="67">
        <v>96</v>
      </c>
      <c r="H12" s="11"/>
      <c r="I12" s="15" t="s">
        <v>14</v>
      </c>
      <c r="J12" s="16">
        <v>588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69"/>
      <c r="D13" s="67">
        <v>305</v>
      </c>
      <c r="E13" s="67">
        <v>31</v>
      </c>
      <c r="F13" s="67">
        <v>64</v>
      </c>
      <c r="G13" s="67">
        <v>95</v>
      </c>
      <c r="H13" s="11"/>
      <c r="I13" s="24" t="s">
        <v>15</v>
      </c>
      <c r="J13" s="25">
        <f>J12+J7</f>
        <v>606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69"/>
      <c r="D14" s="67">
        <v>304</v>
      </c>
      <c r="E14" s="67">
        <v>32</v>
      </c>
      <c r="F14" s="67">
        <v>66</v>
      </c>
      <c r="G14" s="67">
        <v>98</v>
      </c>
      <c r="H14" s="11"/>
      <c r="I14" s="24" t="s">
        <v>16</v>
      </c>
      <c r="J14" s="26">
        <v>598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69"/>
      <c r="D15" s="67">
        <v>302</v>
      </c>
      <c r="E15" s="67">
        <v>32</v>
      </c>
      <c r="F15" s="67">
        <v>66</v>
      </c>
      <c r="G15" s="67">
        <v>98</v>
      </c>
      <c r="H15" s="11"/>
      <c r="I15" s="17" t="s">
        <v>17</v>
      </c>
      <c r="J15" s="21">
        <f>J13-J14</f>
        <v>8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69"/>
      <c r="D16" s="67">
        <v>303</v>
      </c>
      <c r="E16" s="67">
        <v>32</v>
      </c>
      <c r="F16" s="67">
        <v>65</v>
      </c>
      <c r="G16" s="67">
        <v>97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69"/>
      <c r="D17" s="67">
        <v>302</v>
      </c>
      <c r="E17" s="67">
        <v>32</v>
      </c>
      <c r="F17" s="67">
        <v>66</v>
      </c>
      <c r="G17" s="67">
        <v>98</v>
      </c>
      <c r="H17" s="11"/>
      <c r="I17" s="15" t="s">
        <v>18</v>
      </c>
      <c r="J17" s="16">
        <v>52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69"/>
      <c r="D18" s="67">
        <v>303</v>
      </c>
      <c r="E18" s="67">
        <v>32</v>
      </c>
      <c r="F18" s="67">
        <v>63</v>
      </c>
      <c r="G18" s="67">
        <v>95</v>
      </c>
      <c r="H18" s="11"/>
      <c r="I18" s="24" t="s">
        <v>19</v>
      </c>
      <c r="J18" s="25">
        <v>50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69"/>
      <c r="D19" s="67">
        <v>305</v>
      </c>
      <c r="E19" s="67">
        <v>32</v>
      </c>
      <c r="F19" s="67">
        <v>67</v>
      </c>
      <c r="G19" s="67">
        <v>99</v>
      </c>
      <c r="H19" s="11"/>
      <c r="I19" s="24" t="s">
        <v>20</v>
      </c>
      <c r="J19" s="25">
        <v>41.9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6.5" x14ac:dyDescent="0.25">
      <c r="A20" s="1"/>
      <c r="B20" s="8">
        <f t="shared" si="0"/>
        <v>17</v>
      </c>
      <c r="C20" s="69"/>
      <c r="D20" s="67">
        <v>300</v>
      </c>
      <c r="E20" s="67">
        <v>31</v>
      </c>
      <c r="F20" s="67">
        <v>66</v>
      </c>
      <c r="G20" s="67">
        <v>97</v>
      </c>
      <c r="H20" s="11"/>
      <c r="I20" s="29" t="s">
        <v>28</v>
      </c>
      <c r="J20" s="30">
        <f>J18-J19</f>
        <v>8.1000000000000014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69"/>
      <c r="D21" s="67">
        <v>302</v>
      </c>
      <c r="E21" s="67">
        <v>32</v>
      </c>
      <c r="F21" s="67">
        <v>65</v>
      </c>
      <c r="G21" s="67">
        <v>97</v>
      </c>
      <c r="H21" s="11"/>
      <c r="I21" s="31"/>
      <c r="J21" s="32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69"/>
      <c r="D22" s="67">
        <v>304</v>
      </c>
      <c r="E22" s="67">
        <v>32</v>
      </c>
      <c r="F22" s="67">
        <v>65</v>
      </c>
      <c r="G22" s="67">
        <v>97</v>
      </c>
      <c r="H22" s="11"/>
      <c r="I22" s="15" t="s">
        <v>21</v>
      </c>
      <c r="J22" s="16">
        <f>COUNT(G4:G106)</f>
        <v>57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69"/>
      <c r="D23" s="67">
        <v>303</v>
      </c>
      <c r="E23" s="67">
        <v>31</v>
      </c>
      <c r="F23" s="67">
        <v>67</v>
      </c>
      <c r="G23" s="67">
        <v>98</v>
      </c>
      <c r="H23" s="11"/>
      <c r="I23" s="17" t="s">
        <v>22</v>
      </c>
      <c r="J23" s="21">
        <f>J15/J22</f>
        <v>0.14035087719298245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69"/>
      <c r="D24" s="67">
        <v>301</v>
      </c>
      <c r="E24" s="67">
        <v>32</v>
      </c>
      <c r="F24" s="67">
        <v>64</v>
      </c>
      <c r="G24" s="67">
        <v>96</v>
      </c>
      <c r="H24" s="11"/>
      <c r="I24" s="14"/>
      <c r="J24" s="33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69"/>
      <c r="D25" s="67">
        <v>305</v>
      </c>
      <c r="E25" s="67">
        <v>32</v>
      </c>
      <c r="F25" s="67">
        <v>66</v>
      </c>
      <c r="G25" s="67">
        <v>98</v>
      </c>
      <c r="H25" s="11"/>
      <c r="I25" s="15" t="s">
        <v>23</v>
      </c>
      <c r="J25" s="16">
        <f>AVERAGE(E4:E1048576)</f>
        <v>34.807692307692307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69"/>
      <c r="D26" s="67">
        <v>302</v>
      </c>
      <c r="E26" s="67">
        <v>32</v>
      </c>
      <c r="F26" s="67">
        <v>65</v>
      </c>
      <c r="G26" s="67">
        <v>97</v>
      </c>
      <c r="H26" s="11"/>
      <c r="I26" s="24" t="s">
        <v>24</v>
      </c>
      <c r="J26" s="25">
        <f>AVERAGE(F4:F1048576)</f>
        <v>65.942307692307693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69"/>
      <c r="D27" s="67">
        <v>304</v>
      </c>
      <c r="E27" s="67">
        <v>33</v>
      </c>
      <c r="F27" s="67">
        <v>66</v>
      </c>
      <c r="G27" s="67">
        <v>99</v>
      </c>
      <c r="H27" s="11"/>
      <c r="I27" s="17" t="s">
        <v>25</v>
      </c>
      <c r="J27" s="21">
        <f>AVERAGE(D5:D1048576)</f>
        <v>392.21428571428572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69"/>
      <c r="D28" s="67">
        <v>300</v>
      </c>
      <c r="E28" s="67">
        <v>32</v>
      </c>
      <c r="F28" s="67">
        <v>66</v>
      </c>
      <c r="G28" s="67">
        <v>98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69"/>
      <c r="D29" s="67">
        <v>301</v>
      </c>
      <c r="F29" s="67" t="s">
        <v>26</v>
      </c>
      <c r="G29" s="67">
        <v>99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69"/>
      <c r="D30" s="67">
        <v>303</v>
      </c>
      <c r="E30" s="67">
        <v>34</v>
      </c>
      <c r="F30" s="67">
        <v>65</v>
      </c>
      <c r="G30" s="67">
        <v>99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69"/>
      <c r="D31" s="67">
        <v>300</v>
      </c>
      <c r="E31" s="67">
        <v>32</v>
      </c>
      <c r="F31" s="67">
        <v>66</v>
      </c>
      <c r="G31" s="67">
        <v>98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69"/>
      <c r="D32" s="67">
        <v>301</v>
      </c>
      <c r="E32" s="67">
        <v>33</v>
      </c>
      <c r="F32" s="67">
        <v>64</v>
      </c>
      <c r="G32" s="67">
        <v>97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69"/>
      <c r="D33" s="67">
        <v>304</v>
      </c>
      <c r="E33" s="67">
        <v>34</v>
      </c>
      <c r="F33" s="67">
        <v>65</v>
      </c>
      <c r="G33" s="67">
        <v>99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69"/>
      <c r="D34" s="67">
        <v>301</v>
      </c>
      <c r="E34" s="67">
        <v>34</v>
      </c>
      <c r="F34" s="67">
        <v>64</v>
      </c>
      <c r="G34" s="67">
        <v>98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69"/>
      <c r="D35" s="67">
        <v>300</v>
      </c>
      <c r="F35" s="67" t="s">
        <v>26</v>
      </c>
      <c r="G35" s="67">
        <v>99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69"/>
      <c r="D36" s="67">
        <v>303</v>
      </c>
      <c r="F36" s="67" t="s">
        <v>26</v>
      </c>
      <c r="G36" s="67">
        <v>99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69"/>
      <c r="D37" s="67">
        <v>299</v>
      </c>
      <c r="E37" s="67">
        <v>35</v>
      </c>
      <c r="F37" s="67">
        <v>64</v>
      </c>
      <c r="G37" s="67">
        <v>99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69"/>
      <c r="D38" s="67">
        <v>299</v>
      </c>
      <c r="E38" s="67">
        <v>36</v>
      </c>
      <c r="F38" s="67">
        <v>64</v>
      </c>
      <c r="G38" s="67">
        <v>100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69"/>
      <c r="D39" s="67">
        <v>302</v>
      </c>
      <c r="E39" s="67">
        <v>36</v>
      </c>
      <c r="F39" s="67">
        <v>64</v>
      </c>
      <c r="G39" s="67">
        <v>100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69"/>
      <c r="D40" s="67">
        <v>299</v>
      </c>
      <c r="E40" s="67">
        <v>37</v>
      </c>
      <c r="F40" s="67">
        <v>64</v>
      </c>
      <c r="G40" s="67">
        <v>101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69"/>
      <c r="D41" s="67">
        <v>297</v>
      </c>
      <c r="E41" s="67">
        <v>37</v>
      </c>
      <c r="F41" s="67">
        <v>64</v>
      </c>
      <c r="G41" s="67">
        <v>101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69"/>
      <c r="D42" s="67">
        <v>300</v>
      </c>
      <c r="E42" s="67">
        <v>37</v>
      </c>
      <c r="F42" s="67">
        <v>64</v>
      </c>
      <c r="G42" s="67">
        <v>101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69"/>
      <c r="D43" s="67">
        <v>298</v>
      </c>
      <c r="E43" s="67">
        <v>37</v>
      </c>
      <c r="F43" s="67">
        <v>65</v>
      </c>
      <c r="G43" s="67">
        <v>102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69"/>
      <c r="D44" s="67">
        <v>296</v>
      </c>
      <c r="E44" s="67">
        <v>39</v>
      </c>
      <c r="F44" s="67">
        <v>66</v>
      </c>
      <c r="G44" s="67">
        <v>105</v>
      </c>
      <c r="H44" s="11"/>
      <c r="I44" s="11"/>
      <c r="J44" s="11"/>
      <c r="K44" s="11"/>
      <c r="L44" s="11"/>
      <c r="M44" s="1"/>
      <c r="N44" s="1"/>
      <c r="O44" s="1" t="s">
        <v>26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69"/>
      <c r="D45" s="67">
        <v>297</v>
      </c>
      <c r="E45" s="67">
        <v>38</v>
      </c>
      <c r="F45" s="67">
        <v>64</v>
      </c>
      <c r="G45" s="67">
        <v>102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69"/>
      <c r="D46" s="67">
        <v>296</v>
      </c>
      <c r="E46" s="67">
        <v>39</v>
      </c>
      <c r="F46" s="67">
        <v>67</v>
      </c>
      <c r="G46" s="67">
        <v>106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69"/>
      <c r="D47" s="67">
        <v>292</v>
      </c>
      <c r="E47" s="67">
        <v>39</v>
      </c>
      <c r="F47" s="67">
        <v>66</v>
      </c>
      <c r="G47" s="67">
        <v>105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69"/>
      <c r="D48" s="67">
        <v>297</v>
      </c>
      <c r="E48" s="67">
        <v>39</v>
      </c>
      <c r="F48" s="67">
        <v>64</v>
      </c>
      <c r="G48" s="67">
        <v>103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69"/>
      <c r="D49" s="67">
        <v>296</v>
      </c>
      <c r="E49" s="67">
        <v>39</v>
      </c>
      <c r="F49" s="67">
        <v>66</v>
      </c>
      <c r="G49" s="67">
        <v>105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69"/>
      <c r="D50" s="67">
        <v>294</v>
      </c>
      <c r="E50" s="67">
        <v>41</v>
      </c>
      <c r="F50" s="67">
        <v>64</v>
      </c>
      <c r="G50" s="67">
        <v>105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69"/>
      <c r="D51" s="67">
        <v>294</v>
      </c>
      <c r="E51" s="67">
        <v>42</v>
      </c>
      <c r="F51" s="67">
        <v>65</v>
      </c>
      <c r="G51" s="67">
        <v>107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69"/>
      <c r="D52" s="67">
        <v>292</v>
      </c>
      <c r="E52" s="67">
        <v>43</v>
      </c>
      <c r="F52" s="67">
        <v>67</v>
      </c>
      <c r="G52" s="67">
        <v>110</v>
      </c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69"/>
      <c r="D53" s="67">
        <v>289</v>
      </c>
      <c r="E53" s="67">
        <v>43</v>
      </c>
      <c r="F53" s="67">
        <v>66</v>
      </c>
      <c r="G53" s="67">
        <v>109</v>
      </c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69"/>
      <c r="D54" s="67">
        <v>292</v>
      </c>
      <c r="E54" s="67">
        <v>44</v>
      </c>
      <c r="F54" s="67">
        <v>67</v>
      </c>
      <c r="G54" s="67">
        <v>111</v>
      </c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69"/>
      <c r="D55" s="67">
        <v>287</v>
      </c>
      <c r="E55" s="67">
        <v>43</v>
      </c>
      <c r="F55" s="67">
        <v>66</v>
      </c>
      <c r="G55" s="67">
        <v>109</v>
      </c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69"/>
      <c r="D56" s="67">
        <v>2291</v>
      </c>
      <c r="F56" s="67" t="s">
        <v>26</v>
      </c>
      <c r="G56" s="67">
        <v>109</v>
      </c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69"/>
      <c r="D57" s="67">
        <v>2698</v>
      </c>
      <c r="E57" s="67">
        <v>42</v>
      </c>
      <c r="F57" s="67">
        <v>69</v>
      </c>
      <c r="G57" s="67">
        <v>111</v>
      </c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69"/>
      <c r="D58" s="67">
        <v>731</v>
      </c>
      <c r="E58" s="67">
        <v>44</v>
      </c>
      <c r="F58" s="67">
        <v>68</v>
      </c>
      <c r="G58" s="67">
        <v>112</v>
      </c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69"/>
      <c r="D59" s="67">
        <v>738</v>
      </c>
      <c r="E59" s="67">
        <v>44</v>
      </c>
      <c r="F59" s="67">
        <v>69</v>
      </c>
      <c r="G59" s="67">
        <v>113</v>
      </c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69"/>
      <c r="D60" s="67">
        <v>202</v>
      </c>
      <c r="F60" s="67" t="s">
        <v>26</v>
      </c>
      <c r="G60" s="67">
        <v>128</v>
      </c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69"/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69"/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69"/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69"/>
      <c r="H64" s="11"/>
      <c r="I64" s="34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69"/>
      <c r="H65" s="11"/>
      <c r="I65" s="34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69"/>
      <c r="H66" s="11"/>
      <c r="I66" s="34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70"/>
      <c r="H67" s="11"/>
      <c r="I67" s="34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69"/>
      <c r="H68" s="11"/>
      <c r="I68" s="34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70"/>
      <c r="H69" s="11"/>
      <c r="I69" s="34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69"/>
      <c r="H70" s="11"/>
      <c r="I70" s="34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70"/>
      <c r="H71" s="11"/>
      <c r="I71" s="34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70"/>
      <c r="H72" s="11"/>
      <c r="I72" s="34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69"/>
      <c r="H73" s="11"/>
      <c r="I73" s="34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69"/>
      <c r="H74" s="11"/>
      <c r="I74" s="34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69"/>
      <c r="H75" s="11"/>
      <c r="I75" s="34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69"/>
      <c r="H76" s="11"/>
      <c r="I76" s="34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69"/>
      <c r="H77" s="11"/>
      <c r="I77" s="34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69"/>
      <c r="H78" s="11"/>
      <c r="I78" s="34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69"/>
      <c r="H79" s="11"/>
      <c r="I79" s="34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69"/>
      <c r="H80" s="11"/>
      <c r="I80" s="34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69"/>
      <c r="H81" s="11"/>
      <c r="I81" s="34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69"/>
      <c r="H82" s="11"/>
      <c r="I82" s="34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69"/>
      <c r="H83" s="11"/>
      <c r="I83" s="34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69"/>
      <c r="H84" s="11"/>
      <c r="I84" s="34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69"/>
      <c r="H85" s="11"/>
      <c r="I85" s="34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70"/>
      <c r="H86" s="11"/>
      <c r="I86" s="34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H87" s="11"/>
      <c r="I87" s="34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H88" s="11"/>
      <c r="I88" s="40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H89" s="11"/>
      <c r="I89" s="40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H90" s="11"/>
      <c r="I90" s="40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H91" s="11"/>
      <c r="I91" s="40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H92" s="11"/>
      <c r="I92" s="34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H93" s="11"/>
      <c r="I93" s="40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H94" s="11"/>
      <c r="I94" s="40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H95" s="11"/>
      <c r="I95" s="34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H96" s="11"/>
      <c r="I96" s="34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H97" s="11"/>
      <c r="I97" s="34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BL_HST[CH3]" sqref="F4:F86" xr:uid="{4154AF92-3F9D-4ABC-B6C8-86283359AB33}"/>
    <dataValidation allowBlank="1" showInputMessage="1" showErrorMessage="1" prompt="TBL_HST[CH2]" sqref="E4:E86" xr:uid="{24EC6A10-006F-4577-87E0-2A6F83A0CCAB}"/>
    <dataValidation allowBlank="1" showInputMessage="1" showErrorMessage="1" prompt="TBL_HST[CH4]" sqref="G4:G86" xr:uid="{502C73C6-DAA8-4862-A655-BCD547440CA3}"/>
    <dataValidation allowBlank="1" showInputMessage="1" showErrorMessage="1" prompt="TBL_HST[CH1]" sqref="D4:D86" xr:uid="{3D889204-C211-4CA8-BE6A-CDBE0144C17A}"/>
    <dataValidation allowBlank="1" showInputMessage="1" showErrorMessage="1" prompt="Time_x000d__x000a__x000d__x000a_TBL_HST[TIME]" sqref="C4:C86" xr:uid="{79CAE5FE-187E-49B6-B4D7-3ED10C12096F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5FADF-784C-4046-8862-CD4EA20EA41C}">
  <dimension ref="C1:S105"/>
  <sheetViews>
    <sheetView workbookViewId="0">
      <selection activeCell="L32" sqref="L32"/>
    </sheetView>
  </sheetViews>
  <sheetFormatPr defaultRowHeight="15" x14ac:dyDescent="0.25"/>
  <cols>
    <col min="1" max="3" width="9.140625" style="67"/>
    <col min="4" max="4" width="15.5703125" style="67" customWidth="1"/>
    <col min="5" max="5" width="20" style="67" customWidth="1"/>
    <col min="6" max="6" width="23.28515625" style="67" customWidth="1"/>
    <col min="7" max="7" width="22.85546875" style="67" customWidth="1"/>
    <col min="8" max="8" width="19.42578125" style="67" customWidth="1"/>
    <col min="9" max="9" width="9.140625" style="67"/>
    <col min="10" max="10" width="13" style="67" customWidth="1"/>
    <col min="11" max="11" width="14.28515625" style="67" customWidth="1"/>
    <col min="12" max="12" width="13.5703125" style="67" customWidth="1"/>
    <col min="13" max="16384" width="9.140625" style="67"/>
  </cols>
  <sheetData>
    <row r="1" spans="3:11" ht="15.75" thickBot="1" x14ac:dyDescent="0.3"/>
    <row r="2" spans="3:11" ht="15.75" thickBot="1" x14ac:dyDescent="0.3">
      <c r="D2" s="50" t="s">
        <v>42</v>
      </c>
    </row>
    <row r="3" spans="3:11" x14ac:dyDescent="0.25">
      <c r="C3" s="47"/>
      <c r="D3" s="49" t="s">
        <v>43</v>
      </c>
      <c r="E3" s="48" t="s">
        <v>44</v>
      </c>
      <c r="F3" s="48" t="s">
        <v>45</v>
      </c>
    </row>
    <row r="4" spans="3:11" ht="15.75" x14ac:dyDescent="0.25">
      <c r="C4" s="47" t="s">
        <v>41</v>
      </c>
      <c r="D4" s="46" t="s">
        <v>5</v>
      </c>
      <c r="E4" s="46" t="s">
        <v>5</v>
      </c>
      <c r="F4" s="46" t="s">
        <v>5</v>
      </c>
      <c r="G4" s="46" t="s">
        <v>29</v>
      </c>
      <c r="H4" s="51" t="s">
        <v>46</v>
      </c>
      <c r="I4" s="51" t="s">
        <v>47</v>
      </c>
      <c r="K4" s="42" t="s">
        <v>30</v>
      </c>
    </row>
    <row r="5" spans="3:11" ht="15.75" x14ac:dyDescent="0.25">
      <c r="C5" s="67">
        <f>1</f>
        <v>1</v>
      </c>
      <c r="D5" s="67">
        <v>24</v>
      </c>
      <c r="E5" s="67">
        <v>24</v>
      </c>
      <c r="G5" s="67">
        <f t="shared" ref="G5:G68" si="0">AVERAGE(D5:F5)</f>
        <v>24</v>
      </c>
      <c r="H5" s="67">
        <f>_xlfn.STDEV.P(D5:F5)</f>
        <v>0</v>
      </c>
      <c r="I5" s="67" t="e">
        <f>AVERAGE(H5:H100)</f>
        <v>#DIV/0!</v>
      </c>
      <c r="J5" s="67">
        <v>1</v>
      </c>
      <c r="K5" s="43">
        <v>10.8</v>
      </c>
    </row>
    <row r="6" spans="3:11" x14ac:dyDescent="0.25">
      <c r="C6" s="67">
        <f>C5+1</f>
        <v>2</v>
      </c>
      <c r="D6" s="67">
        <v>25</v>
      </c>
      <c r="E6" s="67">
        <v>25</v>
      </c>
      <c r="G6" s="67">
        <f t="shared" si="0"/>
        <v>25</v>
      </c>
      <c r="H6" s="67">
        <f t="shared" ref="H6:H69" si="1">_xlfn.STDEV.P(D6:F6)</f>
        <v>0</v>
      </c>
      <c r="J6" s="67">
        <v>2</v>
      </c>
      <c r="K6" s="44">
        <v>8.1</v>
      </c>
    </row>
    <row r="7" spans="3:11" x14ac:dyDescent="0.25">
      <c r="C7" s="67">
        <f t="shared" ref="C7:C70" si="2">C6+1</f>
        <v>3</v>
      </c>
      <c r="D7" s="67">
        <v>27</v>
      </c>
      <c r="E7" s="67">
        <v>29</v>
      </c>
      <c r="G7" s="67">
        <f t="shared" si="0"/>
        <v>28</v>
      </c>
      <c r="H7" s="67">
        <f t="shared" si="1"/>
        <v>1</v>
      </c>
      <c r="J7" s="67">
        <v>3</v>
      </c>
      <c r="K7" s="44"/>
    </row>
    <row r="8" spans="3:11" ht="15.75" x14ac:dyDescent="0.25">
      <c r="C8" s="67">
        <f t="shared" si="2"/>
        <v>4</v>
      </c>
      <c r="D8" s="67">
        <v>27</v>
      </c>
      <c r="E8" s="67">
        <v>28</v>
      </c>
      <c r="G8" s="67">
        <f t="shared" si="0"/>
        <v>27.5</v>
      </c>
      <c r="H8" s="67">
        <f t="shared" si="1"/>
        <v>0.5</v>
      </c>
      <c r="J8" s="42" t="s">
        <v>31</v>
      </c>
      <c r="K8" s="67">
        <f>AVERAGE(K5:K7)</f>
        <v>9.4499999999999993</v>
      </c>
    </row>
    <row r="9" spans="3:11" x14ac:dyDescent="0.25">
      <c r="C9" s="67">
        <f t="shared" si="2"/>
        <v>5</v>
      </c>
      <c r="D9" s="67">
        <v>27</v>
      </c>
      <c r="E9" s="67">
        <v>30</v>
      </c>
      <c r="G9" s="67">
        <f t="shared" si="0"/>
        <v>28.5</v>
      </c>
      <c r="H9" s="67">
        <f t="shared" si="1"/>
        <v>1.5</v>
      </c>
    </row>
    <row r="10" spans="3:11" x14ac:dyDescent="0.25">
      <c r="C10" s="67">
        <f t="shared" si="2"/>
        <v>6</v>
      </c>
      <c r="D10" s="67">
        <v>28</v>
      </c>
      <c r="E10" s="67">
        <v>31</v>
      </c>
      <c r="G10" s="67">
        <f t="shared" si="0"/>
        <v>29.5</v>
      </c>
      <c r="H10" s="67">
        <f t="shared" si="1"/>
        <v>1.5</v>
      </c>
    </row>
    <row r="11" spans="3:11" ht="15.75" x14ac:dyDescent="0.25">
      <c r="C11" s="67">
        <f t="shared" si="2"/>
        <v>7</v>
      </c>
      <c r="D11" s="67">
        <v>27</v>
      </c>
      <c r="E11" s="67">
        <v>31</v>
      </c>
      <c r="G11" s="67">
        <f t="shared" si="0"/>
        <v>29</v>
      </c>
      <c r="H11" s="67">
        <f t="shared" si="1"/>
        <v>2</v>
      </c>
      <c r="K11" s="42" t="s">
        <v>32</v>
      </c>
    </row>
    <row r="12" spans="3:11" ht="15.75" x14ac:dyDescent="0.25">
      <c r="C12" s="67">
        <f t="shared" si="2"/>
        <v>8</v>
      </c>
      <c r="D12" s="67">
        <v>28</v>
      </c>
      <c r="E12" s="67">
        <v>30</v>
      </c>
      <c r="G12" s="67">
        <f t="shared" si="0"/>
        <v>29</v>
      </c>
      <c r="H12" s="67">
        <f t="shared" si="1"/>
        <v>1</v>
      </c>
      <c r="J12" s="67">
        <v>1</v>
      </c>
      <c r="K12" s="43">
        <v>48</v>
      </c>
    </row>
    <row r="13" spans="3:11" x14ac:dyDescent="0.25">
      <c r="C13" s="67">
        <f t="shared" si="2"/>
        <v>9</v>
      </c>
      <c r="D13" s="67">
        <v>29</v>
      </c>
      <c r="E13" s="67">
        <v>31</v>
      </c>
      <c r="G13" s="67">
        <f t="shared" si="0"/>
        <v>30</v>
      </c>
      <c r="H13" s="67">
        <f t="shared" si="1"/>
        <v>1</v>
      </c>
      <c r="J13" s="67">
        <v>2</v>
      </c>
      <c r="K13" s="44">
        <v>57</v>
      </c>
    </row>
    <row r="14" spans="3:11" x14ac:dyDescent="0.25">
      <c r="C14" s="67">
        <f t="shared" si="2"/>
        <v>10</v>
      </c>
      <c r="D14" s="67">
        <v>29</v>
      </c>
      <c r="E14" s="67">
        <v>31</v>
      </c>
      <c r="G14" s="67">
        <f t="shared" si="0"/>
        <v>30</v>
      </c>
      <c r="H14" s="67">
        <f t="shared" si="1"/>
        <v>1</v>
      </c>
      <c r="J14" s="67">
        <v>3</v>
      </c>
      <c r="K14" s="44"/>
    </row>
    <row r="15" spans="3:11" ht="15.75" x14ac:dyDescent="0.25">
      <c r="C15" s="67">
        <f t="shared" si="2"/>
        <v>11</v>
      </c>
      <c r="D15" s="67">
        <v>31</v>
      </c>
      <c r="E15" s="67">
        <v>32</v>
      </c>
      <c r="G15" s="67">
        <f t="shared" si="0"/>
        <v>31.5</v>
      </c>
      <c r="H15" s="67">
        <f t="shared" si="1"/>
        <v>0.5</v>
      </c>
      <c r="J15" s="42" t="s">
        <v>33</v>
      </c>
      <c r="K15" s="67">
        <f>AVERAGE(K12:K14)</f>
        <v>52.5</v>
      </c>
    </row>
    <row r="16" spans="3:11" x14ac:dyDescent="0.25">
      <c r="C16" s="67">
        <f t="shared" si="2"/>
        <v>12</v>
      </c>
      <c r="D16" s="67">
        <v>29</v>
      </c>
      <c r="E16" s="67">
        <v>32</v>
      </c>
      <c r="G16" s="67">
        <f t="shared" si="0"/>
        <v>30.5</v>
      </c>
      <c r="H16" s="67">
        <f t="shared" si="1"/>
        <v>1.5</v>
      </c>
    </row>
    <row r="17" spans="3:11" x14ac:dyDescent="0.25">
      <c r="C17" s="67">
        <f t="shared" si="2"/>
        <v>13</v>
      </c>
      <c r="D17" s="67">
        <v>30</v>
      </c>
      <c r="E17" s="67">
        <v>32</v>
      </c>
      <c r="G17" s="67">
        <f t="shared" si="0"/>
        <v>31</v>
      </c>
      <c r="H17" s="67">
        <f t="shared" si="1"/>
        <v>1</v>
      </c>
    </row>
    <row r="18" spans="3:11" ht="15.75" x14ac:dyDescent="0.25">
      <c r="C18" s="67">
        <f t="shared" si="2"/>
        <v>14</v>
      </c>
      <c r="D18" s="67">
        <v>30</v>
      </c>
      <c r="E18" s="67">
        <v>32</v>
      </c>
      <c r="G18" s="67">
        <f t="shared" si="0"/>
        <v>31</v>
      </c>
      <c r="H18" s="67">
        <f t="shared" si="1"/>
        <v>1</v>
      </c>
      <c r="K18" s="42" t="s">
        <v>34</v>
      </c>
    </row>
    <row r="19" spans="3:11" ht="15.75" x14ac:dyDescent="0.25">
      <c r="C19" s="67">
        <f t="shared" si="2"/>
        <v>15</v>
      </c>
      <c r="D19" s="67">
        <v>29</v>
      </c>
      <c r="E19" s="67">
        <v>32</v>
      </c>
      <c r="G19" s="67">
        <f t="shared" si="0"/>
        <v>30.5</v>
      </c>
      <c r="H19" s="67">
        <f t="shared" si="1"/>
        <v>1.5</v>
      </c>
      <c r="J19" s="67">
        <v>1</v>
      </c>
      <c r="K19" s="43">
        <v>8</v>
      </c>
    </row>
    <row r="20" spans="3:11" x14ac:dyDescent="0.25">
      <c r="C20" s="67">
        <f t="shared" si="2"/>
        <v>16</v>
      </c>
      <c r="D20" s="67">
        <v>30</v>
      </c>
      <c r="E20" s="67">
        <v>32</v>
      </c>
      <c r="G20" s="67">
        <f t="shared" si="0"/>
        <v>31</v>
      </c>
      <c r="H20" s="67">
        <f t="shared" si="1"/>
        <v>1</v>
      </c>
      <c r="J20" s="67">
        <v>2</v>
      </c>
      <c r="K20" s="44">
        <v>8</v>
      </c>
    </row>
    <row r="21" spans="3:11" x14ac:dyDescent="0.25">
      <c r="C21" s="67">
        <f t="shared" si="2"/>
        <v>17</v>
      </c>
      <c r="D21" s="67">
        <v>30</v>
      </c>
      <c r="E21" s="67">
        <v>31</v>
      </c>
      <c r="G21" s="67">
        <f t="shared" si="0"/>
        <v>30.5</v>
      </c>
      <c r="H21" s="67">
        <f t="shared" si="1"/>
        <v>0.5</v>
      </c>
      <c r="J21" s="67">
        <v>3</v>
      </c>
      <c r="K21" s="44"/>
    </row>
    <row r="22" spans="3:11" ht="15.75" x14ac:dyDescent="0.25">
      <c r="C22" s="67">
        <f t="shared" si="2"/>
        <v>18</v>
      </c>
      <c r="D22" s="67">
        <v>29</v>
      </c>
      <c r="E22" s="67">
        <v>32</v>
      </c>
      <c r="G22" s="67">
        <f t="shared" si="0"/>
        <v>30.5</v>
      </c>
      <c r="H22" s="67">
        <f t="shared" si="1"/>
        <v>1.5</v>
      </c>
      <c r="J22" s="42" t="s">
        <v>35</v>
      </c>
      <c r="K22" s="67">
        <f>AVERAGE(K19:K21)</f>
        <v>8</v>
      </c>
    </row>
    <row r="23" spans="3:11" x14ac:dyDescent="0.25">
      <c r="C23" s="67">
        <f t="shared" si="2"/>
        <v>19</v>
      </c>
      <c r="D23" s="67">
        <v>30</v>
      </c>
      <c r="E23" s="67">
        <v>32</v>
      </c>
      <c r="G23" s="67">
        <f t="shared" si="0"/>
        <v>31</v>
      </c>
      <c r="H23" s="67">
        <f t="shared" si="1"/>
        <v>1</v>
      </c>
    </row>
    <row r="24" spans="3:11" x14ac:dyDescent="0.25">
      <c r="C24" s="67">
        <f t="shared" si="2"/>
        <v>20</v>
      </c>
      <c r="D24" s="67">
        <v>30</v>
      </c>
      <c r="E24" s="67">
        <v>31</v>
      </c>
      <c r="G24" s="67">
        <f t="shared" si="0"/>
        <v>30.5</v>
      </c>
      <c r="H24" s="67">
        <f t="shared" si="1"/>
        <v>0.5</v>
      </c>
    </row>
    <row r="25" spans="3:11" x14ac:dyDescent="0.25">
      <c r="C25" s="67">
        <f t="shared" si="2"/>
        <v>21</v>
      </c>
      <c r="D25" s="67">
        <v>30</v>
      </c>
      <c r="E25" s="67">
        <v>32</v>
      </c>
      <c r="G25" s="67">
        <f t="shared" si="0"/>
        <v>31</v>
      </c>
      <c r="H25" s="67">
        <f t="shared" si="1"/>
        <v>1</v>
      </c>
    </row>
    <row r="26" spans="3:11" x14ac:dyDescent="0.25">
      <c r="C26" s="67">
        <f t="shared" si="2"/>
        <v>22</v>
      </c>
      <c r="D26" s="67">
        <v>30</v>
      </c>
      <c r="E26" s="67">
        <v>32</v>
      </c>
      <c r="G26" s="67">
        <f t="shared" si="0"/>
        <v>31</v>
      </c>
      <c r="H26" s="67">
        <f t="shared" si="1"/>
        <v>1</v>
      </c>
    </row>
    <row r="27" spans="3:11" x14ac:dyDescent="0.25">
      <c r="C27" s="67">
        <f t="shared" si="2"/>
        <v>23</v>
      </c>
      <c r="D27" s="67">
        <v>30</v>
      </c>
      <c r="E27" s="67">
        <v>32</v>
      </c>
      <c r="G27" s="67">
        <f t="shared" si="0"/>
        <v>31</v>
      </c>
      <c r="H27" s="67">
        <f t="shared" si="1"/>
        <v>1</v>
      </c>
    </row>
    <row r="28" spans="3:11" x14ac:dyDescent="0.25">
      <c r="C28" s="67">
        <f t="shared" si="2"/>
        <v>24</v>
      </c>
      <c r="D28" s="67">
        <v>31</v>
      </c>
      <c r="E28" s="67">
        <v>33</v>
      </c>
      <c r="G28" s="67">
        <f t="shared" si="0"/>
        <v>32</v>
      </c>
      <c r="H28" s="67">
        <f t="shared" si="1"/>
        <v>1</v>
      </c>
    </row>
    <row r="29" spans="3:11" x14ac:dyDescent="0.25">
      <c r="C29" s="67">
        <f t="shared" si="2"/>
        <v>25</v>
      </c>
      <c r="D29" s="67">
        <v>31</v>
      </c>
      <c r="E29" s="67">
        <v>32</v>
      </c>
      <c r="G29" s="67">
        <f t="shared" si="0"/>
        <v>31.5</v>
      </c>
      <c r="H29" s="67">
        <f t="shared" si="1"/>
        <v>0.5</v>
      </c>
    </row>
    <row r="30" spans="3:11" x14ac:dyDescent="0.25">
      <c r="C30" s="67">
        <f t="shared" si="2"/>
        <v>26</v>
      </c>
      <c r="D30" s="67">
        <v>30</v>
      </c>
      <c r="G30" s="67">
        <f t="shared" si="0"/>
        <v>30</v>
      </c>
      <c r="H30" s="67">
        <f t="shared" si="1"/>
        <v>0</v>
      </c>
    </row>
    <row r="31" spans="3:11" x14ac:dyDescent="0.25">
      <c r="C31" s="67">
        <f t="shared" si="2"/>
        <v>27</v>
      </c>
      <c r="D31" s="67">
        <v>31</v>
      </c>
      <c r="E31" s="67">
        <v>34</v>
      </c>
      <c r="G31" s="67">
        <f t="shared" si="0"/>
        <v>32.5</v>
      </c>
      <c r="H31" s="67">
        <f t="shared" si="1"/>
        <v>1.5</v>
      </c>
    </row>
    <row r="32" spans="3:11" x14ac:dyDescent="0.25">
      <c r="C32" s="67">
        <f t="shared" si="2"/>
        <v>28</v>
      </c>
      <c r="D32" s="67">
        <v>32</v>
      </c>
      <c r="E32" s="67">
        <v>32</v>
      </c>
      <c r="G32" s="67">
        <f t="shared" si="0"/>
        <v>32</v>
      </c>
      <c r="H32" s="67">
        <f t="shared" si="1"/>
        <v>0</v>
      </c>
    </row>
    <row r="33" spans="3:19" x14ac:dyDescent="0.25">
      <c r="C33" s="67">
        <f t="shared" si="2"/>
        <v>29</v>
      </c>
      <c r="D33" s="67">
        <v>32</v>
      </c>
      <c r="E33" s="67">
        <v>33</v>
      </c>
      <c r="G33" s="67">
        <f t="shared" si="0"/>
        <v>32.5</v>
      </c>
      <c r="H33" s="67">
        <f t="shared" si="1"/>
        <v>0.5</v>
      </c>
    </row>
    <row r="34" spans="3:19" x14ac:dyDescent="0.25">
      <c r="C34" s="67">
        <f t="shared" si="2"/>
        <v>30</v>
      </c>
      <c r="D34" s="67">
        <v>32</v>
      </c>
      <c r="E34" s="67">
        <v>34</v>
      </c>
      <c r="G34" s="67">
        <f t="shared" si="0"/>
        <v>33</v>
      </c>
      <c r="H34" s="67">
        <f t="shared" si="1"/>
        <v>1</v>
      </c>
    </row>
    <row r="35" spans="3:19" x14ac:dyDescent="0.25">
      <c r="C35" s="67">
        <f t="shared" si="2"/>
        <v>31</v>
      </c>
      <c r="D35" s="67">
        <v>31</v>
      </c>
      <c r="E35" s="67">
        <v>34</v>
      </c>
      <c r="G35" s="67">
        <f t="shared" si="0"/>
        <v>32.5</v>
      </c>
      <c r="H35" s="67">
        <f t="shared" si="1"/>
        <v>1.5</v>
      </c>
    </row>
    <row r="36" spans="3:19" x14ac:dyDescent="0.25">
      <c r="C36" s="67">
        <f t="shared" si="2"/>
        <v>32</v>
      </c>
      <c r="D36" s="67">
        <v>32</v>
      </c>
      <c r="G36" s="67">
        <f t="shared" si="0"/>
        <v>32</v>
      </c>
      <c r="H36" s="67">
        <f t="shared" si="1"/>
        <v>0</v>
      </c>
    </row>
    <row r="37" spans="3:19" x14ac:dyDescent="0.25">
      <c r="C37" s="67">
        <f t="shared" si="2"/>
        <v>33</v>
      </c>
      <c r="D37" s="67">
        <v>32</v>
      </c>
      <c r="G37" s="67">
        <f t="shared" si="0"/>
        <v>32</v>
      </c>
      <c r="H37" s="67">
        <f t="shared" si="1"/>
        <v>0</v>
      </c>
    </row>
    <row r="38" spans="3:19" x14ac:dyDescent="0.25">
      <c r="C38" s="67">
        <f t="shared" si="2"/>
        <v>34</v>
      </c>
      <c r="D38" s="67">
        <v>33</v>
      </c>
      <c r="E38" s="67">
        <v>35</v>
      </c>
      <c r="G38" s="67">
        <f t="shared" si="0"/>
        <v>34</v>
      </c>
      <c r="H38" s="67">
        <f t="shared" si="1"/>
        <v>1</v>
      </c>
    </row>
    <row r="39" spans="3:19" x14ac:dyDescent="0.25">
      <c r="C39" s="67">
        <f t="shared" si="2"/>
        <v>35</v>
      </c>
      <c r="D39" s="67">
        <v>33</v>
      </c>
      <c r="E39" s="67">
        <v>36</v>
      </c>
      <c r="G39" s="67">
        <f t="shared" si="0"/>
        <v>34.5</v>
      </c>
      <c r="H39" s="67">
        <f t="shared" si="1"/>
        <v>1.5</v>
      </c>
    </row>
    <row r="40" spans="3:19" x14ac:dyDescent="0.25">
      <c r="C40" s="67">
        <f t="shared" si="2"/>
        <v>36</v>
      </c>
      <c r="D40" s="67">
        <v>33</v>
      </c>
      <c r="E40" s="67">
        <v>36</v>
      </c>
      <c r="G40" s="67">
        <f t="shared" si="0"/>
        <v>34.5</v>
      </c>
      <c r="H40" s="67">
        <f t="shared" si="1"/>
        <v>1.5</v>
      </c>
    </row>
    <row r="41" spans="3:19" x14ac:dyDescent="0.25">
      <c r="C41" s="67">
        <f t="shared" si="2"/>
        <v>37</v>
      </c>
      <c r="D41" s="67">
        <v>34</v>
      </c>
      <c r="E41" s="67">
        <v>37</v>
      </c>
      <c r="G41" s="67">
        <f t="shared" si="0"/>
        <v>35.5</v>
      </c>
      <c r="H41" s="67">
        <f t="shared" si="1"/>
        <v>1.5</v>
      </c>
    </row>
    <row r="42" spans="3:19" x14ac:dyDescent="0.25">
      <c r="C42" s="67">
        <f t="shared" si="2"/>
        <v>38</v>
      </c>
      <c r="D42" s="67">
        <v>34</v>
      </c>
      <c r="E42" s="67">
        <v>37</v>
      </c>
      <c r="G42" s="67">
        <f t="shared" si="0"/>
        <v>35.5</v>
      </c>
      <c r="H42" s="67">
        <f t="shared" si="1"/>
        <v>1.5</v>
      </c>
    </row>
    <row r="43" spans="3:19" x14ac:dyDescent="0.25">
      <c r="C43" s="67">
        <f t="shared" si="2"/>
        <v>39</v>
      </c>
      <c r="D43" s="67">
        <v>33</v>
      </c>
      <c r="E43" s="67">
        <v>37</v>
      </c>
      <c r="G43" s="67">
        <f t="shared" si="0"/>
        <v>35</v>
      </c>
      <c r="H43" s="67">
        <f t="shared" si="1"/>
        <v>2</v>
      </c>
    </row>
    <row r="44" spans="3:19" x14ac:dyDescent="0.25">
      <c r="C44" s="67">
        <f t="shared" si="2"/>
        <v>40</v>
      </c>
      <c r="D44" s="67">
        <v>35</v>
      </c>
      <c r="E44" s="67">
        <v>37</v>
      </c>
      <c r="G44" s="67">
        <f t="shared" si="0"/>
        <v>36</v>
      </c>
      <c r="H44" s="67">
        <f t="shared" si="1"/>
        <v>1</v>
      </c>
      <c r="M44" s="67">
        <v>2</v>
      </c>
      <c r="N44" s="67">
        <v>5</v>
      </c>
      <c r="O44" s="67">
        <v>2</v>
      </c>
      <c r="P44" s="67">
        <f>_xlfn.STDEV.P(M44:O44)</f>
        <v>1.4142135623730951</v>
      </c>
      <c r="S44" s="67">
        <f>AVERAGE(M44:O44)</f>
        <v>3</v>
      </c>
    </row>
    <row r="45" spans="3:19" x14ac:dyDescent="0.25">
      <c r="C45" s="67">
        <f t="shared" si="2"/>
        <v>41</v>
      </c>
      <c r="D45" s="67">
        <v>35</v>
      </c>
      <c r="E45" s="67">
        <v>39</v>
      </c>
      <c r="G45" s="67">
        <f t="shared" si="0"/>
        <v>37</v>
      </c>
      <c r="H45" s="67">
        <f t="shared" si="1"/>
        <v>2</v>
      </c>
    </row>
    <row r="46" spans="3:19" x14ac:dyDescent="0.25">
      <c r="C46" s="67">
        <f t="shared" si="2"/>
        <v>42</v>
      </c>
      <c r="D46" s="67">
        <v>36</v>
      </c>
      <c r="E46" s="67">
        <v>38</v>
      </c>
      <c r="G46" s="67">
        <f t="shared" si="0"/>
        <v>37</v>
      </c>
      <c r="H46" s="67">
        <f t="shared" si="1"/>
        <v>1</v>
      </c>
    </row>
    <row r="47" spans="3:19" x14ac:dyDescent="0.25">
      <c r="C47" s="67">
        <f t="shared" si="2"/>
        <v>43</v>
      </c>
      <c r="D47" s="67">
        <v>35</v>
      </c>
      <c r="E47" s="67">
        <v>39</v>
      </c>
      <c r="G47" s="67">
        <f t="shared" si="0"/>
        <v>37</v>
      </c>
      <c r="H47" s="67">
        <f t="shared" si="1"/>
        <v>2</v>
      </c>
    </row>
    <row r="48" spans="3:19" x14ac:dyDescent="0.25">
      <c r="C48" s="67">
        <f t="shared" si="2"/>
        <v>44</v>
      </c>
      <c r="D48" s="67" t="s">
        <v>26</v>
      </c>
      <c r="E48" s="67">
        <v>39</v>
      </c>
      <c r="G48" s="67">
        <f t="shared" si="0"/>
        <v>39</v>
      </c>
      <c r="H48" s="67">
        <f t="shared" si="1"/>
        <v>0</v>
      </c>
    </row>
    <row r="49" spans="3:8" x14ac:dyDescent="0.25">
      <c r="C49" s="67">
        <f t="shared" si="2"/>
        <v>45</v>
      </c>
      <c r="D49" s="67">
        <v>36</v>
      </c>
      <c r="E49" s="67">
        <v>39</v>
      </c>
      <c r="G49" s="67">
        <f t="shared" si="0"/>
        <v>37.5</v>
      </c>
      <c r="H49" s="67">
        <f t="shared" si="1"/>
        <v>1.5</v>
      </c>
    </row>
    <row r="50" spans="3:8" x14ac:dyDescent="0.25">
      <c r="C50" s="67">
        <f t="shared" si="2"/>
        <v>46</v>
      </c>
      <c r="E50" s="67">
        <v>39</v>
      </c>
      <c r="G50" s="67">
        <f t="shared" si="0"/>
        <v>39</v>
      </c>
      <c r="H50" s="67">
        <f t="shared" si="1"/>
        <v>0</v>
      </c>
    </row>
    <row r="51" spans="3:8" x14ac:dyDescent="0.25">
      <c r="C51" s="67">
        <f t="shared" si="2"/>
        <v>47</v>
      </c>
      <c r="E51" s="67">
        <v>41</v>
      </c>
      <c r="G51" s="67">
        <f t="shared" si="0"/>
        <v>41</v>
      </c>
      <c r="H51" s="67">
        <f t="shared" si="1"/>
        <v>0</v>
      </c>
    </row>
    <row r="52" spans="3:8" x14ac:dyDescent="0.25">
      <c r="C52" s="67">
        <f t="shared" si="2"/>
        <v>48</v>
      </c>
      <c r="E52" s="67">
        <v>42</v>
      </c>
      <c r="G52" s="67">
        <f t="shared" si="0"/>
        <v>42</v>
      </c>
      <c r="H52" s="67">
        <f t="shared" si="1"/>
        <v>0</v>
      </c>
    </row>
    <row r="53" spans="3:8" x14ac:dyDescent="0.25">
      <c r="C53" s="67">
        <f t="shared" si="2"/>
        <v>49</v>
      </c>
      <c r="E53" s="67">
        <v>43</v>
      </c>
      <c r="G53" s="67">
        <f t="shared" si="0"/>
        <v>43</v>
      </c>
      <c r="H53" s="67">
        <f t="shared" si="1"/>
        <v>0</v>
      </c>
    </row>
    <row r="54" spans="3:8" x14ac:dyDescent="0.25">
      <c r="C54" s="67">
        <f t="shared" si="2"/>
        <v>50</v>
      </c>
      <c r="E54" s="67">
        <v>43</v>
      </c>
      <c r="G54" s="67">
        <f t="shared" si="0"/>
        <v>43</v>
      </c>
      <c r="H54" s="67">
        <f t="shared" si="1"/>
        <v>0</v>
      </c>
    </row>
    <row r="55" spans="3:8" x14ac:dyDescent="0.25">
      <c r="C55" s="67">
        <f t="shared" si="2"/>
        <v>51</v>
      </c>
      <c r="E55" s="67">
        <v>44</v>
      </c>
      <c r="G55" s="67">
        <f t="shared" si="0"/>
        <v>44</v>
      </c>
      <c r="H55" s="67">
        <f t="shared" si="1"/>
        <v>0</v>
      </c>
    </row>
    <row r="56" spans="3:8" x14ac:dyDescent="0.25">
      <c r="C56" s="67">
        <f t="shared" si="2"/>
        <v>52</v>
      </c>
      <c r="E56" s="67">
        <v>43</v>
      </c>
      <c r="G56" s="67">
        <f t="shared" si="0"/>
        <v>43</v>
      </c>
      <c r="H56" s="67">
        <f t="shared" si="1"/>
        <v>0</v>
      </c>
    </row>
    <row r="57" spans="3:8" x14ac:dyDescent="0.25">
      <c r="C57" s="67">
        <f t="shared" si="2"/>
        <v>53</v>
      </c>
      <c r="G57" s="67" t="e">
        <f t="shared" si="0"/>
        <v>#DIV/0!</v>
      </c>
      <c r="H57" s="67" t="e">
        <f t="shared" si="1"/>
        <v>#DIV/0!</v>
      </c>
    </row>
    <row r="58" spans="3:8" x14ac:dyDescent="0.25">
      <c r="C58" s="67">
        <f t="shared" si="2"/>
        <v>54</v>
      </c>
      <c r="E58" s="67">
        <v>42</v>
      </c>
      <c r="G58" s="67">
        <f t="shared" si="0"/>
        <v>42</v>
      </c>
      <c r="H58" s="67">
        <f t="shared" si="1"/>
        <v>0</v>
      </c>
    </row>
    <row r="59" spans="3:8" x14ac:dyDescent="0.25">
      <c r="C59" s="67">
        <f t="shared" si="2"/>
        <v>55</v>
      </c>
      <c r="E59" s="67">
        <v>44</v>
      </c>
      <c r="G59" s="67">
        <f t="shared" si="0"/>
        <v>44</v>
      </c>
      <c r="H59" s="67">
        <f t="shared" si="1"/>
        <v>0</v>
      </c>
    </row>
    <row r="60" spans="3:8" x14ac:dyDescent="0.25">
      <c r="C60" s="67">
        <f t="shared" si="2"/>
        <v>56</v>
      </c>
      <c r="E60" s="67">
        <v>44</v>
      </c>
      <c r="G60" s="67">
        <f t="shared" si="0"/>
        <v>44</v>
      </c>
      <c r="H60" s="67">
        <f t="shared" si="1"/>
        <v>0</v>
      </c>
    </row>
    <row r="61" spans="3:8" x14ac:dyDescent="0.25">
      <c r="C61" s="67">
        <f t="shared" si="2"/>
        <v>57</v>
      </c>
      <c r="G61" s="67" t="e">
        <f t="shared" si="0"/>
        <v>#DIV/0!</v>
      </c>
      <c r="H61" s="67" t="e">
        <f t="shared" si="1"/>
        <v>#DIV/0!</v>
      </c>
    </row>
    <row r="62" spans="3:8" x14ac:dyDescent="0.25">
      <c r="C62" s="67">
        <f t="shared" si="2"/>
        <v>58</v>
      </c>
      <c r="G62" s="67" t="e">
        <f t="shared" si="0"/>
        <v>#DIV/0!</v>
      </c>
      <c r="H62" s="67" t="e">
        <f t="shared" si="1"/>
        <v>#DIV/0!</v>
      </c>
    </row>
    <row r="63" spans="3:8" x14ac:dyDescent="0.25">
      <c r="C63" s="67">
        <f t="shared" si="2"/>
        <v>59</v>
      </c>
      <c r="G63" s="67" t="e">
        <f t="shared" si="0"/>
        <v>#DIV/0!</v>
      </c>
      <c r="H63" s="67" t="e">
        <f t="shared" si="1"/>
        <v>#DIV/0!</v>
      </c>
    </row>
    <row r="64" spans="3:8" x14ac:dyDescent="0.25">
      <c r="C64" s="67">
        <f t="shared" si="2"/>
        <v>60</v>
      </c>
      <c r="G64" s="67" t="e">
        <f t="shared" si="0"/>
        <v>#DIV/0!</v>
      </c>
      <c r="H64" s="67" t="e">
        <f t="shared" si="1"/>
        <v>#DIV/0!</v>
      </c>
    </row>
    <row r="65" spans="3:8" x14ac:dyDescent="0.25">
      <c r="C65" s="67">
        <f t="shared" si="2"/>
        <v>61</v>
      </c>
      <c r="G65" s="67" t="e">
        <f t="shared" si="0"/>
        <v>#DIV/0!</v>
      </c>
      <c r="H65" s="67" t="e">
        <f t="shared" si="1"/>
        <v>#DIV/0!</v>
      </c>
    </row>
    <row r="66" spans="3:8" x14ac:dyDescent="0.25">
      <c r="C66" s="67">
        <f t="shared" si="2"/>
        <v>62</v>
      </c>
      <c r="G66" s="67" t="e">
        <f t="shared" si="0"/>
        <v>#DIV/0!</v>
      </c>
      <c r="H66" s="67" t="e">
        <f t="shared" si="1"/>
        <v>#DIV/0!</v>
      </c>
    </row>
    <row r="67" spans="3:8" x14ac:dyDescent="0.25">
      <c r="C67" s="67">
        <f t="shared" si="2"/>
        <v>63</v>
      </c>
      <c r="G67" s="67" t="e">
        <f t="shared" si="0"/>
        <v>#DIV/0!</v>
      </c>
      <c r="H67" s="67" t="e">
        <f t="shared" si="1"/>
        <v>#DIV/0!</v>
      </c>
    </row>
    <row r="68" spans="3:8" x14ac:dyDescent="0.25">
      <c r="C68" s="67">
        <f t="shared" si="2"/>
        <v>64</v>
      </c>
      <c r="G68" s="67" t="e">
        <f t="shared" si="0"/>
        <v>#DIV/0!</v>
      </c>
      <c r="H68" s="67" t="e">
        <f t="shared" si="1"/>
        <v>#DIV/0!</v>
      </c>
    </row>
    <row r="69" spans="3:8" x14ac:dyDescent="0.25">
      <c r="C69" s="67">
        <f t="shared" si="2"/>
        <v>65</v>
      </c>
      <c r="G69" s="67" t="e">
        <f t="shared" ref="G69:G100" si="3">AVERAGE(D69:F69)</f>
        <v>#DIV/0!</v>
      </c>
      <c r="H69" s="67" t="e">
        <f t="shared" si="1"/>
        <v>#DIV/0!</v>
      </c>
    </row>
    <row r="70" spans="3:8" x14ac:dyDescent="0.25">
      <c r="C70" s="67">
        <f t="shared" si="2"/>
        <v>66</v>
      </c>
      <c r="G70" s="67" t="e">
        <f t="shared" si="3"/>
        <v>#DIV/0!</v>
      </c>
      <c r="H70" s="67" t="e">
        <f t="shared" ref="H70:H105" si="4">_xlfn.STDEV.P(D70:F70)</f>
        <v>#DIV/0!</v>
      </c>
    </row>
    <row r="71" spans="3:8" x14ac:dyDescent="0.25">
      <c r="C71" s="67">
        <f t="shared" ref="C71:C102" si="5">C70+1</f>
        <v>67</v>
      </c>
      <c r="G71" s="67" t="e">
        <f t="shared" si="3"/>
        <v>#DIV/0!</v>
      </c>
      <c r="H71" s="67" t="e">
        <f t="shared" si="4"/>
        <v>#DIV/0!</v>
      </c>
    </row>
    <row r="72" spans="3:8" x14ac:dyDescent="0.25">
      <c r="C72" s="67">
        <f t="shared" si="5"/>
        <v>68</v>
      </c>
      <c r="G72" s="67" t="e">
        <f t="shared" si="3"/>
        <v>#DIV/0!</v>
      </c>
      <c r="H72" s="67" t="e">
        <f t="shared" si="4"/>
        <v>#DIV/0!</v>
      </c>
    </row>
    <row r="73" spans="3:8" x14ac:dyDescent="0.25">
      <c r="C73" s="67">
        <f t="shared" si="5"/>
        <v>69</v>
      </c>
      <c r="G73" s="67" t="e">
        <f t="shared" si="3"/>
        <v>#DIV/0!</v>
      </c>
      <c r="H73" s="67" t="e">
        <f t="shared" si="4"/>
        <v>#DIV/0!</v>
      </c>
    </row>
    <row r="74" spans="3:8" x14ac:dyDescent="0.25">
      <c r="C74" s="67">
        <f t="shared" si="5"/>
        <v>70</v>
      </c>
      <c r="G74" s="67" t="e">
        <f t="shared" si="3"/>
        <v>#DIV/0!</v>
      </c>
      <c r="H74" s="67" t="e">
        <f t="shared" si="4"/>
        <v>#DIV/0!</v>
      </c>
    </row>
    <row r="75" spans="3:8" x14ac:dyDescent="0.25">
      <c r="C75" s="67">
        <f t="shared" si="5"/>
        <v>71</v>
      </c>
      <c r="G75" s="67" t="e">
        <f t="shared" si="3"/>
        <v>#DIV/0!</v>
      </c>
      <c r="H75" s="67" t="e">
        <f t="shared" si="4"/>
        <v>#DIV/0!</v>
      </c>
    </row>
    <row r="76" spans="3:8" x14ac:dyDescent="0.25">
      <c r="C76" s="67">
        <f t="shared" si="5"/>
        <v>72</v>
      </c>
      <c r="G76" s="67" t="e">
        <f t="shared" si="3"/>
        <v>#DIV/0!</v>
      </c>
      <c r="H76" s="67" t="e">
        <f t="shared" si="4"/>
        <v>#DIV/0!</v>
      </c>
    </row>
    <row r="77" spans="3:8" x14ac:dyDescent="0.25">
      <c r="C77" s="67">
        <f t="shared" si="5"/>
        <v>73</v>
      </c>
      <c r="G77" s="67" t="e">
        <f t="shared" si="3"/>
        <v>#DIV/0!</v>
      </c>
      <c r="H77" s="67" t="e">
        <f t="shared" si="4"/>
        <v>#DIV/0!</v>
      </c>
    </row>
    <row r="78" spans="3:8" x14ac:dyDescent="0.25">
      <c r="C78" s="67">
        <f t="shared" si="5"/>
        <v>74</v>
      </c>
      <c r="G78" s="67" t="e">
        <f t="shared" si="3"/>
        <v>#DIV/0!</v>
      </c>
      <c r="H78" s="67" t="e">
        <f t="shared" si="4"/>
        <v>#DIV/0!</v>
      </c>
    </row>
    <row r="79" spans="3:8" x14ac:dyDescent="0.25">
      <c r="C79" s="67">
        <f t="shared" si="5"/>
        <v>75</v>
      </c>
      <c r="G79" s="67" t="e">
        <f t="shared" si="3"/>
        <v>#DIV/0!</v>
      </c>
      <c r="H79" s="67" t="e">
        <f t="shared" si="4"/>
        <v>#DIV/0!</v>
      </c>
    </row>
    <row r="80" spans="3:8" x14ac:dyDescent="0.25">
      <c r="C80" s="67">
        <f t="shared" si="5"/>
        <v>76</v>
      </c>
      <c r="G80" s="67" t="e">
        <f t="shared" si="3"/>
        <v>#DIV/0!</v>
      </c>
      <c r="H80" s="67" t="e">
        <f t="shared" si="4"/>
        <v>#DIV/0!</v>
      </c>
    </row>
    <row r="81" spans="3:8" x14ac:dyDescent="0.25">
      <c r="C81" s="67">
        <f t="shared" si="5"/>
        <v>77</v>
      </c>
      <c r="G81" s="67" t="e">
        <f t="shared" si="3"/>
        <v>#DIV/0!</v>
      </c>
      <c r="H81" s="67" t="e">
        <f t="shared" si="4"/>
        <v>#DIV/0!</v>
      </c>
    </row>
    <row r="82" spans="3:8" x14ac:dyDescent="0.25">
      <c r="C82" s="67">
        <f t="shared" si="5"/>
        <v>78</v>
      </c>
      <c r="G82" s="67" t="e">
        <f t="shared" si="3"/>
        <v>#DIV/0!</v>
      </c>
      <c r="H82" s="67" t="e">
        <f t="shared" si="4"/>
        <v>#DIV/0!</v>
      </c>
    </row>
    <row r="83" spans="3:8" x14ac:dyDescent="0.25">
      <c r="C83" s="67">
        <f t="shared" si="5"/>
        <v>79</v>
      </c>
      <c r="G83" s="67" t="e">
        <f t="shared" si="3"/>
        <v>#DIV/0!</v>
      </c>
      <c r="H83" s="67" t="e">
        <f t="shared" si="4"/>
        <v>#DIV/0!</v>
      </c>
    </row>
    <row r="84" spans="3:8" x14ac:dyDescent="0.25">
      <c r="C84" s="67">
        <f t="shared" si="5"/>
        <v>80</v>
      </c>
      <c r="G84" s="67" t="e">
        <f t="shared" si="3"/>
        <v>#DIV/0!</v>
      </c>
      <c r="H84" s="67" t="e">
        <f t="shared" si="4"/>
        <v>#DIV/0!</v>
      </c>
    </row>
    <row r="85" spans="3:8" x14ac:dyDescent="0.25">
      <c r="C85" s="67">
        <f t="shared" si="5"/>
        <v>81</v>
      </c>
      <c r="G85" s="67" t="e">
        <f t="shared" si="3"/>
        <v>#DIV/0!</v>
      </c>
      <c r="H85" s="67" t="e">
        <f t="shared" si="4"/>
        <v>#DIV/0!</v>
      </c>
    </row>
    <row r="86" spans="3:8" x14ac:dyDescent="0.25">
      <c r="C86" s="67">
        <f t="shared" si="5"/>
        <v>82</v>
      </c>
      <c r="G86" s="67" t="e">
        <f t="shared" si="3"/>
        <v>#DIV/0!</v>
      </c>
      <c r="H86" s="67" t="e">
        <f t="shared" si="4"/>
        <v>#DIV/0!</v>
      </c>
    </row>
    <row r="87" spans="3:8" x14ac:dyDescent="0.25">
      <c r="C87" s="67">
        <f t="shared" si="5"/>
        <v>83</v>
      </c>
      <c r="G87" s="67" t="e">
        <f t="shared" si="3"/>
        <v>#DIV/0!</v>
      </c>
      <c r="H87" s="67" t="e">
        <f t="shared" si="4"/>
        <v>#DIV/0!</v>
      </c>
    </row>
    <row r="88" spans="3:8" x14ac:dyDescent="0.25">
      <c r="C88" s="67">
        <f t="shared" si="5"/>
        <v>84</v>
      </c>
      <c r="G88" s="67" t="e">
        <f t="shared" si="3"/>
        <v>#DIV/0!</v>
      </c>
      <c r="H88" s="67" t="e">
        <f t="shared" si="4"/>
        <v>#DIV/0!</v>
      </c>
    </row>
    <row r="89" spans="3:8" x14ac:dyDescent="0.25">
      <c r="C89" s="67">
        <f t="shared" si="5"/>
        <v>85</v>
      </c>
      <c r="G89" s="67" t="e">
        <f t="shared" si="3"/>
        <v>#DIV/0!</v>
      </c>
      <c r="H89" s="67" t="e">
        <f t="shared" si="4"/>
        <v>#DIV/0!</v>
      </c>
    </row>
    <row r="90" spans="3:8" x14ac:dyDescent="0.25">
      <c r="C90" s="67">
        <f t="shared" si="5"/>
        <v>86</v>
      </c>
      <c r="G90" s="67" t="e">
        <f t="shared" si="3"/>
        <v>#DIV/0!</v>
      </c>
      <c r="H90" s="67" t="e">
        <f t="shared" si="4"/>
        <v>#DIV/0!</v>
      </c>
    </row>
    <row r="91" spans="3:8" x14ac:dyDescent="0.25">
      <c r="C91" s="67">
        <f t="shared" si="5"/>
        <v>87</v>
      </c>
      <c r="G91" s="67" t="e">
        <f t="shared" si="3"/>
        <v>#DIV/0!</v>
      </c>
      <c r="H91" s="67" t="e">
        <f t="shared" si="4"/>
        <v>#DIV/0!</v>
      </c>
    </row>
    <row r="92" spans="3:8" x14ac:dyDescent="0.25">
      <c r="C92" s="67">
        <f t="shared" si="5"/>
        <v>88</v>
      </c>
      <c r="G92" s="67" t="e">
        <f t="shared" si="3"/>
        <v>#DIV/0!</v>
      </c>
      <c r="H92" s="67" t="e">
        <f t="shared" si="4"/>
        <v>#DIV/0!</v>
      </c>
    </row>
    <row r="93" spans="3:8" x14ac:dyDescent="0.25">
      <c r="C93" s="67">
        <f t="shared" si="5"/>
        <v>89</v>
      </c>
      <c r="G93" s="67" t="e">
        <f t="shared" si="3"/>
        <v>#DIV/0!</v>
      </c>
      <c r="H93" s="67" t="e">
        <f t="shared" si="4"/>
        <v>#DIV/0!</v>
      </c>
    </row>
    <row r="94" spans="3:8" x14ac:dyDescent="0.25">
      <c r="C94" s="67">
        <f t="shared" si="5"/>
        <v>90</v>
      </c>
      <c r="G94" s="67" t="e">
        <f t="shared" si="3"/>
        <v>#DIV/0!</v>
      </c>
      <c r="H94" s="67" t="e">
        <f t="shared" si="4"/>
        <v>#DIV/0!</v>
      </c>
    </row>
    <row r="95" spans="3:8" x14ac:dyDescent="0.25">
      <c r="C95" s="67">
        <f t="shared" si="5"/>
        <v>91</v>
      </c>
      <c r="G95" s="67" t="e">
        <f t="shared" si="3"/>
        <v>#DIV/0!</v>
      </c>
      <c r="H95" s="67" t="e">
        <f t="shared" si="4"/>
        <v>#DIV/0!</v>
      </c>
    </row>
    <row r="96" spans="3:8" x14ac:dyDescent="0.25">
      <c r="C96" s="67">
        <f t="shared" si="5"/>
        <v>92</v>
      </c>
      <c r="G96" s="67" t="e">
        <f t="shared" si="3"/>
        <v>#DIV/0!</v>
      </c>
      <c r="H96" s="67" t="e">
        <f t="shared" si="4"/>
        <v>#DIV/0!</v>
      </c>
    </row>
    <row r="97" spans="3:8" x14ac:dyDescent="0.25">
      <c r="C97" s="67">
        <f t="shared" si="5"/>
        <v>93</v>
      </c>
      <c r="G97" s="67" t="e">
        <f t="shared" si="3"/>
        <v>#DIV/0!</v>
      </c>
      <c r="H97" s="67" t="e">
        <f t="shared" si="4"/>
        <v>#DIV/0!</v>
      </c>
    </row>
    <row r="98" spans="3:8" x14ac:dyDescent="0.25">
      <c r="C98" s="67">
        <f t="shared" si="5"/>
        <v>94</v>
      </c>
      <c r="G98" s="67" t="e">
        <f t="shared" si="3"/>
        <v>#DIV/0!</v>
      </c>
      <c r="H98" s="67" t="e">
        <f t="shared" si="4"/>
        <v>#DIV/0!</v>
      </c>
    </row>
    <row r="99" spans="3:8" x14ac:dyDescent="0.25">
      <c r="C99" s="67">
        <f t="shared" si="5"/>
        <v>95</v>
      </c>
      <c r="G99" s="67" t="e">
        <f t="shared" si="3"/>
        <v>#DIV/0!</v>
      </c>
      <c r="H99" s="67" t="e">
        <f t="shared" si="4"/>
        <v>#DIV/0!</v>
      </c>
    </row>
    <row r="100" spans="3:8" x14ac:dyDescent="0.25">
      <c r="C100" s="67">
        <f t="shared" si="5"/>
        <v>96</v>
      </c>
      <c r="G100" s="67" t="e">
        <f t="shared" si="3"/>
        <v>#DIV/0!</v>
      </c>
      <c r="H100" s="67" t="e">
        <f t="shared" si="4"/>
        <v>#DIV/0!</v>
      </c>
    </row>
    <row r="101" spans="3:8" x14ac:dyDescent="0.25">
      <c r="C101" s="67">
        <f t="shared" si="5"/>
        <v>97</v>
      </c>
      <c r="H101" s="67" t="e">
        <f t="shared" si="4"/>
        <v>#DIV/0!</v>
      </c>
    </row>
    <row r="102" spans="3:8" x14ac:dyDescent="0.25">
      <c r="C102" s="67">
        <f t="shared" si="5"/>
        <v>98</v>
      </c>
      <c r="H102" s="67" t="e">
        <f t="shared" si="4"/>
        <v>#DIV/0!</v>
      </c>
    </row>
    <row r="103" spans="3:8" x14ac:dyDescent="0.25">
      <c r="H103" s="67" t="e">
        <f t="shared" si="4"/>
        <v>#DIV/0!</v>
      </c>
    </row>
    <row r="104" spans="3:8" x14ac:dyDescent="0.25">
      <c r="H104" s="67" t="e">
        <f t="shared" si="4"/>
        <v>#DIV/0!</v>
      </c>
    </row>
    <row r="105" spans="3:8" x14ac:dyDescent="0.25">
      <c r="H105" s="67" t="e">
        <f t="shared" si="4"/>
        <v>#DIV/0!</v>
      </c>
    </row>
  </sheetData>
  <dataValidations count="1">
    <dataValidation allowBlank="1" showInputMessage="1" showErrorMessage="1" prompt="TBL_HST[CH2]" sqref="D5:F87" xr:uid="{AF596DB4-F1C6-468F-A7B9-C4E28E906E66}"/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EE418-08A8-4D87-A3BA-2BB56164CF96}">
  <dimension ref="AE17:AH24"/>
  <sheetViews>
    <sheetView tabSelected="1" topLeftCell="B13" workbookViewId="0">
      <selection activeCell="AC28" sqref="AC28"/>
    </sheetView>
  </sheetViews>
  <sheetFormatPr defaultRowHeight="15" x14ac:dyDescent="0.25"/>
  <cols>
    <col min="32" max="32" width="24.7109375" customWidth="1"/>
    <col min="33" max="33" width="21.7109375" customWidth="1"/>
    <col min="34" max="34" width="11.5703125" customWidth="1"/>
  </cols>
  <sheetData>
    <row r="17" spans="31:34" x14ac:dyDescent="0.25">
      <c r="AF17" t="s">
        <v>36</v>
      </c>
      <c r="AG17" t="s">
        <v>37</v>
      </c>
      <c r="AH17" t="s">
        <v>38</v>
      </c>
    </row>
    <row r="19" spans="31:34" x14ac:dyDescent="0.25">
      <c r="AE19" t="s">
        <v>39</v>
      </c>
      <c r="AF19" s="45">
        <f>0.1211*(50)+20.099</f>
        <v>26.154</v>
      </c>
      <c r="AG19">
        <f>0.1211*(1)+20.099</f>
        <v>20.220099999999999</v>
      </c>
      <c r="AH19">
        <f>AF19-AG19</f>
        <v>5.9339000000000013</v>
      </c>
    </row>
    <row r="20" spans="31:34" x14ac:dyDescent="0.25">
      <c r="AF20" s="45"/>
    </row>
    <row r="21" spans="31:34" x14ac:dyDescent="0.25">
      <c r="AE21" t="s">
        <v>40</v>
      </c>
      <c r="AF21" s="45">
        <f>0.0802*(50)+20.472</f>
        <v>24.481999999999999</v>
      </c>
      <c r="AG21">
        <f>0.0802*(1)+20.472</f>
        <v>20.552200000000003</v>
      </c>
      <c r="AH21">
        <f>AF21-AG21</f>
        <v>3.9297999999999966</v>
      </c>
    </row>
    <row r="24" spans="31:34" x14ac:dyDescent="0.25">
      <c r="AE24" t="s">
        <v>51</v>
      </c>
      <c r="AF24">
        <f>0.2866*(1) + 27.797</f>
        <v>28.083600000000001</v>
      </c>
      <c r="AG24">
        <f>0.2866*(30) + 27.797</f>
        <v>36.395000000000003</v>
      </c>
      <c r="AH24">
        <f>AG24-AF24</f>
        <v>8.3114000000000026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12g_CO2_Cold_1</vt:lpstr>
      <vt:lpstr>12g_CO2_Cold_2</vt:lpstr>
      <vt:lpstr>12g_CO2_Cold_3</vt:lpstr>
      <vt:lpstr>12g_CO2_AVG's</vt:lpstr>
      <vt:lpstr>18g_CO2_Cold_1</vt:lpstr>
      <vt:lpstr>18g_CO2_Cold_2</vt:lpstr>
      <vt:lpstr>18g_CO2_Cold_3</vt:lpstr>
      <vt:lpstr>18g_CO2_AVG's</vt:lpstr>
      <vt:lpstr>12g_Propane_Cold_1</vt:lpstr>
      <vt:lpstr>12g_Propane_Cold_2</vt:lpstr>
      <vt:lpstr>12g_Propane_Cold_3</vt:lpstr>
      <vt:lpstr>12g_Propane_AVG's</vt:lpstr>
      <vt:lpstr>18g_Propane_Cold_1</vt:lpstr>
      <vt:lpstr>18g_Propane_Cold_2</vt:lpstr>
      <vt:lpstr>18g_Propane_AVG's</vt:lpstr>
      <vt:lpstr>CompareAvg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Stoegbauer</dc:creator>
  <cp:lastModifiedBy>Michael Stoegbauer</cp:lastModifiedBy>
  <dcterms:created xsi:type="dcterms:W3CDTF">2022-12-15T23:45:03Z</dcterms:created>
  <dcterms:modified xsi:type="dcterms:W3CDTF">2022-12-22T07:04:23Z</dcterms:modified>
</cp:coreProperties>
</file>